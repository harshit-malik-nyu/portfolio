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063f3ac9c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6c7365b5116c4344"/>
    <x:sheet xmlns:r="http://schemas.openxmlformats.org/officeDocument/2006/relationships" name="Daily" sheetId="2" r:id="R6c94b5162e23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 d, yyyy"/>
    <x:numFmt numFmtId="201" formatCode="#,##0"/>
    <x:numFmt numFmtId="202" formatCode="0.0"/>
    <x:numFmt numFmtId="203" formatCode="mmm yyyy"/>
    <x:numFmt numFmtId="204" formatCode="mm/dd/yy"/>
  </x:numFmts>
  <x:fonts count="5">
    <x:font>
      <x:sz val="11"/>
      <x:name val="Carlito"/>
    </x:font>
    <x:font>
      <x:sz val="11"/>
      <x:color rgb="FF20343F"/>
      <x:name val="Arial"/>
    </x:font>
    <x:font>
      <x:b/>
      <x:sz val="16"/>
      <x:color rgb="FF20343F"/>
      <x:name val="Arial"/>
    </x:font>
    <x:font>
      <x:b/>
      <x:sz val="11"/>
      <x:color rgb="FF20343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2034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/>
  </x:cellXfs>
  <x:cellStyles count="1">
    <x:cellStyle name="Normal" xfId="0"/>
  </x:cellStyles>
  <x:dxfs count="1">
    <x:dxf>
      <x:font>
        <x:color rgb="FF9A2525"/>
      </x:font>
      <x:fill>
        <x:patternFill patternType="solid">
          <x:bgColor rgb="FFFC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a9c847d764c37" /><Relationship Type="http://schemas.openxmlformats.org/officeDocument/2006/relationships/theme" Target="/xl/theme/theme1.xml" Id="Rc17d19d903cd47c1" /><Relationship Type="http://schemas.openxmlformats.org/officeDocument/2006/relationships/sharedStrings" Target="/xl/sharedStrings.xml" Id="Rb77fc39e74e44b28" /><Relationship Type="http://schemas.openxmlformats.org/officeDocument/2006/relationships/worksheet" Target="/xl/worksheets/sheet1.xml" Id="R6c7365b5116c4344" /><Relationship Type="http://schemas.openxmlformats.org/officeDocument/2006/relationships/worksheet" Target="/xl/worksheets/sheet2.xml" Id="R6c94b5162e234d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bcf26e11fd45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Orders per observed 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Orders / day</c:v>
          </c:tx>
          <c:spPr>
            <a:ln xmlns:a="http://schemas.openxmlformats.org/drawingml/2006/main" w="19050">
              <a:solidFill>
                <a:srgbClr val="245B85"/>
              </a:solidFill>
              <a:prstDash val="solid"/>
            </a:ln>
          </c:spPr>
          <c:marker>
            <c:symbol val="none"/>
          </c:marker>
          <c:cat>
            <c:strRef>
              <c:f>'Report'!$G$20:$G$24</c:f>
              <c:strCache>
                <c:ptCount val="0"/>
              </c:strCache>
            </c:strRef>
          </c:cat>
          <c:val>
            <c:numRef>
              <c:f>'Report'!$H$20:$H$24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bcf26e11fd453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d2b9cdc271401f" /></Relationships>
</file>

<file path=xl/worksheets/sheet1.xml><?xml version="1.0" encoding="utf-8"?>
<x:worksheet xmlns:x="http://schemas.openxmlformats.org/spreadsheetml/2006/main">
  <x:sheetPr>
    <x:tabColor rgb="FF20343F"/>
  </x:sheetPr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2" t="str">
        <x:v>Commerce operating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0" customHeight="1">
      <x:c r="A4" s="11" t="str">
        <x:v>Reporting window</x:v>
      </x:c>
      <x:c r="B4" s="11" t="str">
        <x:v>Editable dates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 t="str">
        <x:v>Start date</x:v>
      </x:c>
      <x:c r="B5" s="4" t="n">
        <x:v>42127</x:v>
      </x:c>
      <x:c r="C5" s="1"/>
      <x:c r="D5" s="1" t="str">
        <x:v>Amber cells are editable. Dates are inclusive.</x:v>
      </x:c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 t="str">
        <x:v>End date</x:v>
      </x:c>
      <x:c r="B6" s="4" t="n">
        <x:v>42265</x:v>
      </x:c>
      <x:c r="C6" s="1"/>
      <x:c r="D6" s="1" t="str">
        <x:v>Historical coverage: May 3–September 18, 2015.</x:v>
      </x:c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0" customHeight="1">
      <x:c r="A8" s="11" t="str">
        <x:v>Measure</x:v>
      </x:c>
      <x:c r="B8" s="11" t="str">
        <x:v>Selected period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2" customHeight="1">
      <x:c r="A9" s="1" t="str">
        <x:v>Events</x:v>
      </x:c>
      <x:c r="B9" s="5" t="n">
        <x:f>IF(OR(NOT(ISNUMBER(B5)),NOT(ISNUMBER(B6)),B5&gt;B6,MOD(B5,1)&lt;&gt;0,MOD(B6,1)&lt;&gt;0),"n.a.",IF(B11=0,"n.a.",SUMIFS('Daily'!$B$8:$B$146,'Daily'!$A$8:$A$146,"&gt;="&amp;B5,'Daily'!$A$8:$A$146,"&lt;="&amp;B6)))</x:f>
        <x:v>2755641</x:v>
      </x:c>
      <x:c r="C9" s="1"/>
      <x:c r="D9" s="1" t="str">
        <x:v>Natural-key duplicates removed upstream.</x:v>
      </x:c>
      <x:c r="E9" s="1"/>
      <x:c r="F9" s="1"/>
      <x:c r="G9" s="1"/>
      <x:c r="H9" s="1"/>
      <x:c r="I9" s="1"/>
      <x:c r="J9" s="1"/>
      <x:c r="K9" s="1"/>
      <x:c r="L9" s="1"/>
    </x:row>
    <x:row r="10" ht="22" customHeight="1">
      <x:c r="A10" s="1" t="str">
        <x:v>Orders</x:v>
      </x:c>
      <x:c r="B10" s="5" t="n">
        <x:f>IF(OR(NOT(ISNUMBER(B5)),NOT(ISNUMBER(B6)),B5&gt;B6,MOD(B5,1)&lt;&gt;0,MOD(B6,1)&lt;&gt;0),"n.a.",IF(B11=0,"n.a.",SUMIFS('Daily'!$H$8:$H$146,'Daily'!$A$8:$A$146,"&gt;="&amp;B5,'Daily'!$A$8:$A$146,"&lt;="&amp;B6)))</x:f>
        <x:v>17672</x:v>
      </x:c>
      <x:c r="C10" s="1"/>
      <x:c r="D10" s="1" t="str">
        <x:v>Distinct visitor/transaction pairs, attributed to first observed day.</x:v>
      </x:c>
      <x:c r="E10" s="1"/>
      <x:c r="F10" s="1"/>
      <x:c r="G10" s="1"/>
      <x:c r="H10" s="1"/>
      <x:c r="I10" s="1"/>
      <x:c r="J10" s="1"/>
      <x:c r="K10" s="1"/>
      <x:c r="L10" s="1"/>
    </x:row>
    <x:row r="11" ht="22" customHeight="1">
      <x:c r="A11" s="1" t="str">
        <x:v>Observed days</x:v>
      </x:c>
      <x:c r="B11" s="5" t="n">
        <x:f>IF(OR(NOT(ISNUMBER(B5)),NOT(ISNUMBER(B6)),B5&gt;B6,MOD(B5,1)&lt;&gt;0,MOD(B6,1)&lt;&gt;0),"n.a.",COUNTIFS('Daily'!$A$8:$A$146,"&gt;="&amp;B5,'Daily'!$A$8:$A$146,"&lt;="&amp;B6))</x:f>
        <x:v>139</x:v>
      </x:c>
      <x:c r="C11" s="1"/>
      <x:c r="D11" s="1" t="str">
        <x:v>First and last source days may be partial.</x:v>
      </x:c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 t="str">
        <x:v>Orders per observed day</x:v>
      </x:c>
      <x:c r="B12" s="6" t="n">
        <x:f>IF(ISNUMBER(B10),B10/B11,"n.a.")</x:f>
        <x:v>127.13669064748201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 t="str">
        <x:v>Window status</x:v>
      </x:c>
      <x:c r="B13" s="1" t="str">
        <x:f>IF(OR(NOT(ISNUMBER(B5)),NOT(ISNUMBER(B6)),B5&gt;B6,MOD(B5,1)&lt;&gt;0,MOD(B6,1)&lt;&gt;0),"Invalid dates",IF(B11=0,"No coverage",IF(B11&lt;B6-B5+1,"Partial coverage","Within coverage")))</x:f>
        <x:v>Within coverage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 t="str">
        <x:v>Unique period visitors</x:v>
      </x:c>
      <x:c r="B14" s="1" t="str">
        <x:v>Not derivable</x:v>
      </x:c>
      <x:c r="C14" s="1"/>
      <x:c r="D14" s="1" t="str">
        <x:v>Daily visitors cannot be summed into distinct period visitors.</x:v>
      </x:c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7" t="str">
        <x:v>Monthly context (full source coverage)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30" customHeight="1">
      <x:c r="A19" s="11" t="str">
        <x:v>Month</x:v>
      </x:c>
      <x:c r="B19" s="11" t="str">
        <x:v>Events</x:v>
      </x:c>
      <x:c r="C19" s="11" t="str">
        <x:v>Orders</x:v>
      </x:c>
      <x:c r="D19" s="11" t="str">
        <x:v>Observed days</x:v>
      </x:c>
      <x:c r="E19" s="11" t="str">
        <x:v>Orders / day</x:v>
      </x:c>
      <x:c r="F19" s="1"/>
      <x:c r="G19" s="11" t="str">
        <x:v>Month</x:v>
      </x:c>
      <x:c r="H19" s="11" t="str">
        <x:v>Orders / day</x:v>
      </x:c>
      <x:c r="I19" s="1"/>
      <x:c r="J19" s="1"/>
      <x:c r="K19" s="1"/>
      <x:c r="L19" s="1"/>
    </x:row>
    <x:row r="20" ht="22" customHeight="1">
      <x:c r="A20" s="8" t="n">
        <x:v>42125</x:v>
      </x:c>
      <x:c r="B20" s="5" t="n">
        <x:f>SUMIFS('Daily'!$B$8:$B$146,'Daily'!$A$8:$A$146,"&gt;="&amp;A20,'Daily'!$A$8:$A$146,"&lt;"&amp;EDATE(A20,1))</x:f>
        <x:v>590584</x:v>
      </x:c>
      <x:c r="C20" s="5" t="n">
        <x:f>SUMIFS('Daily'!$H$8:$H$146,'Daily'!$A$8:$A$146,"&gt;="&amp;A20,'Daily'!$A$8:$A$146,"&lt;"&amp;EDATE(A20,1))</x:f>
        <x:v>3687</x:v>
      </x:c>
      <x:c r="D20" s="5" t="n">
        <x:f>COUNTIFS('Daily'!$A$8:$A$146,"&gt;="&amp;A20,'Daily'!$A$8:$A$146,"&lt;"&amp;EDATE(A20,1))</x:f>
        <x:v>29</x:v>
      </x:c>
      <x:c r="E20" s="6" t="n">
        <x:f>IF(D20=0,"n.a.",C20/D20)</x:f>
        <x:v>127.13793103448276</x:v>
      </x:c>
      <x:c r="F20" s="1"/>
      <x:c r="G20" s="1" t="str">
        <x:f>TEXT(A20,"mmm yyyy")</x:f>
        <x:v>May 2015</x:v>
      </x:c>
      <x:c r="H20" s="6" t="n">
        <x:f>E20</x:f>
        <x:v>127.13793103448276</x:v>
      </x:c>
      <x:c r="I20" s="1"/>
      <x:c r="J20" s="1"/>
      <x:c r="K20" s="1"/>
      <x:c r="L20" s="1"/>
    </x:row>
    <x:row r="21" ht="22" customHeight="1">
      <x:c r="A21" s="8" t="n">
        <x:v>42156</x:v>
      </x:c>
      <x:c r="B21" s="5" t="n">
        <x:f>SUMIFS('Daily'!$B$8:$B$146,'Daily'!$A$8:$A$146,"&gt;="&amp;A21,'Daily'!$A$8:$A$146,"&lt;"&amp;EDATE(A21,1))</x:f>
        <x:v>610313</x:v>
      </x:c>
      <x:c r="C21" s="5" t="n">
        <x:f>SUMIFS('Daily'!$H$8:$H$146,'Daily'!$A$8:$A$146,"&gt;="&amp;A21,'Daily'!$A$8:$A$146,"&lt;"&amp;EDATE(A21,1))</x:f>
        <x:v>4037</x:v>
      </x:c>
      <x:c r="D21" s="5" t="n">
        <x:f>COUNTIFS('Daily'!$A$8:$A$146,"&gt;="&amp;A21,'Daily'!$A$8:$A$146,"&lt;"&amp;EDATE(A21,1))</x:f>
        <x:v>30</x:v>
      </x:c>
      <x:c r="E21" s="6" t="n">
        <x:f>IF(D21=0,"n.a.",C21/D21)</x:f>
        <x:v>134.56666666666666</x:v>
      </x:c>
      <x:c r="F21" s="1"/>
      <x:c r="G21" s="1" t="str">
        <x:f>TEXT(A21,"mmm yyyy")</x:f>
        <x:v>Jun 2015</x:v>
      </x:c>
      <x:c r="H21" s="6" t="n">
        <x:f>E21</x:f>
        <x:v>134.56666666666666</x:v>
      </x:c>
      <x:c r="I21" s="1"/>
      <x:c r="J21" s="1"/>
      <x:c r="K21" s="1"/>
      <x:c r="L21" s="1"/>
    </x:row>
    <x:row r="22" ht="22" customHeight="1">
      <x:c r="A22" s="8" t="n">
        <x:v>42186</x:v>
      </x:c>
      <x:c r="B22" s="5" t="n">
        <x:f>SUMIFS('Daily'!$B$8:$B$146,'Daily'!$A$8:$A$146,"&gt;="&amp;A22,'Daily'!$A$8:$A$146,"&lt;"&amp;EDATE(A22,1))</x:f>
        <x:v>697849</x:v>
      </x:c>
      <x:c r="C22" s="5" t="n">
        <x:f>SUMIFS('Daily'!$H$8:$H$146,'Daily'!$A$8:$A$146,"&gt;="&amp;A22,'Daily'!$A$8:$A$146,"&lt;"&amp;EDATE(A22,1))</x:f>
        <x:v>4441</x:v>
      </x:c>
      <x:c r="D22" s="5" t="n">
        <x:f>COUNTIFS('Daily'!$A$8:$A$146,"&gt;="&amp;A22,'Daily'!$A$8:$A$146,"&lt;"&amp;EDATE(A22,1))</x:f>
        <x:v>31</x:v>
      </x:c>
      <x:c r="E22" s="6" t="n">
        <x:f>IF(D22=0,"n.a.",C22/D22)</x:f>
        <x:v>143.25806451612902</x:v>
      </x:c>
      <x:c r="F22" s="1"/>
      <x:c r="G22" s="1" t="str">
        <x:f>TEXT(A22,"mmm yyyy")</x:f>
        <x:v>Jul 2015</x:v>
      </x:c>
      <x:c r="H22" s="6" t="n">
        <x:f>E22</x:f>
        <x:v>143.25806451612902</x:v>
      </x:c>
      <x:c r="I22" s="1"/>
      <x:c r="J22" s="1"/>
      <x:c r="K22" s="1"/>
      <x:c r="L22" s="1"/>
    </x:row>
    <x:row r="23" ht="22" customHeight="1">
      <x:c r="A23" s="8" t="n">
        <x:v>42217</x:v>
      </x:c>
      <x:c r="B23" s="5" t="n">
        <x:f>SUMIFS('Daily'!$B$8:$B$146,'Daily'!$A$8:$A$146,"&gt;="&amp;A23,'Daily'!$A$8:$A$146,"&lt;"&amp;EDATE(A23,1))</x:f>
        <x:v>553237</x:v>
      </x:c>
      <x:c r="C23" s="5" t="n">
        <x:f>SUMIFS('Daily'!$H$8:$H$146,'Daily'!$A$8:$A$146,"&gt;="&amp;A23,'Daily'!$A$8:$A$146,"&lt;"&amp;EDATE(A23,1))</x:f>
        <x:v>3660</x:v>
      </x:c>
      <x:c r="D23" s="5" t="n">
        <x:f>COUNTIFS('Daily'!$A$8:$A$146,"&gt;="&amp;A23,'Daily'!$A$8:$A$146,"&lt;"&amp;EDATE(A23,1))</x:f>
        <x:v>31</x:v>
      </x:c>
      <x:c r="E23" s="6" t="n">
        <x:f>IF(D23=0,"n.a.",C23/D23)</x:f>
        <x:v>118.06451612903226</x:v>
      </x:c>
      <x:c r="F23" s="1"/>
      <x:c r="G23" s="1" t="str">
        <x:f>TEXT(A23,"mmm yyyy")</x:f>
        <x:v>Aug 2015</x:v>
      </x:c>
      <x:c r="H23" s="6" t="n">
        <x:f>E23</x:f>
        <x:v>118.06451612903226</x:v>
      </x:c>
      <x:c r="I23" s="1"/>
      <x:c r="J23" s="1"/>
      <x:c r="K23" s="1"/>
      <x:c r="L23" s="1"/>
    </x:row>
    <x:row r="24" ht="22" customHeight="1">
      <x:c r="A24" s="8" t="n">
        <x:v>42248</x:v>
      </x:c>
      <x:c r="B24" s="5" t="n">
        <x:f>SUMIFS('Daily'!$B$8:$B$146,'Daily'!$A$8:$A$146,"&gt;="&amp;A24,'Daily'!$A$8:$A$146,"&lt;"&amp;EDATE(A24,1))</x:f>
        <x:v>303658</x:v>
      </x:c>
      <x:c r="C24" s="5" t="n">
        <x:f>SUMIFS('Daily'!$H$8:$H$146,'Daily'!$A$8:$A$146,"&gt;="&amp;A24,'Daily'!$A$8:$A$146,"&lt;"&amp;EDATE(A24,1))</x:f>
        <x:v>1847</x:v>
      </x:c>
      <x:c r="D24" s="5" t="n">
        <x:f>COUNTIFS('Daily'!$A$8:$A$146,"&gt;="&amp;A24,'Daily'!$A$8:$A$146,"&lt;"&amp;EDATE(A24,1))</x:f>
        <x:v>18</x:v>
      </x:c>
      <x:c r="E24" s="6" t="n">
        <x:f>IF(D24=0,"n.a.",C24/D24)</x:f>
        <x:v>102.61111111111111</x:v>
      </x:c>
      <x:c r="F24" s="1"/>
      <x:c r="G24" s="1" t="str">
        <x:f>TEXT(A24,"mmm yyyy")</x:f>
        <x:v>Sep 2015</x:v>
      </x:c>
      <x:c r="H24" s="6" t="n">
        <x:f>E24</x:f>
        <x:v>102.61111111111111</x:v>
      </x:c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7" t="str">
        <x:v>Interpretation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 t="str">
        <x:v>Monthly counts reflect unequal source coverage. Do not infer causal changes or current commercial performance.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 t="str">
        <x:v>Revenue, margin and channel attribution are absent from this source. No revenue or ROI is inferred.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30" customHeight="1">
      <x:c r="A31" s="11" t="str">
        <x:v>Independent full-source check</x:v>
      </x:c>
      <x:c r="B31" s="11" t="str">
        <x:v>Difference (expected 0)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 t="str">
        <x:v>Events vs source control</x:v>
      </x:c>
      <x:c r="B32" s="1" t="n">
        <x:f>SUM('Daily'!B8:B146)-'Daily'!B4</x:f>
        <x:v>0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 t="str">
        <x:v>Orders vs source control</x:v>
      </x:c>
      <x:c r="B33" s="1" t="n">
        <x:f>SUM('Daily'!H8:H146)-'Daily'!D4</x:f>
        <x:v>0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</x:sheetData>
  <x:conditionalFormatting sqref="B32:B33">
    <x:cfRule type="cellIs" dxfId="0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96d2b9cdc271401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2" t="str">
        <x:v>Historical daily reporting source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 t="str">
        <x:v>Retailrocket 2015, CC BY-NC-SA 4.0; derived from the full event file with the repository SQL reporting pipeline.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 t="str">
        <x:v>Event control</x:v>
      </x:c>
      <x:c r="B4" s="1" t="n">
        <x:v>2755641</x:v>
      </x:c>
      <x:c r="C4" s="1" t="str">
        <x:v>Order control</x:v>
      </x:c>
      <x:c r="D4" s="1" t="n">
        <x:v>17672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 t="str">
        <x:v>Source: https://github.com/harshit-malik-nyu/portfolio/tree/main/projects/commerce-conversion/reporting/output/full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 t="str">
        <x:v>Visitors and buyers are distinct within each day only. Orders are assigned to their earliest observed UTC day.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30" customHeight="1">
      <x:c r="A7" s="11" t="str">
        <x:v>Day (UTC)</x:v>
      </x:c>
      <x:c r="B7" s="11" t="str">
        <x:v>Events</x:v>
      </x:c>
      <x:c r="C7" s="11" t="str">
        <x:v>Daily visitors</x:v>
      </x:c>
      <x:c r="D7" s="11" t="str">
        <x:v>Daily buyers</x:v>
      </x:c>
      <x:c r="E7" s="11" t="str">
        <x:v>Views</x:v>
      </x:c>
      <x:c r="F7" s="11" t="str">
        <x:v>Cart events</x:v>
      </x:c>
      <x:c r="G7" s="11" t="str">
        <x:v>Transaction rows</x:v>
      </x:c>
      <x:c r="H7" s="11" t="str">
        <x:v>Orders</x:v>
      </x:c>
      <x:c r="I7" s="1"/>
      <x:c r="J7" s="1"/>
      <x:c r="K7" s="1"/>
      <x:c r="L7" s="1"/>
    </x:row>
    <x:row r="8" ht="22" customHeight="1">
      <x:c r="A8" s="12" t="n">
        <x:v>42127</x:v>
      </x:c>
      <x:c r="B8" s="5" t="n">
        <x:v>13682</x:v>
      </x:c>
      <x:c r="C8" s="5" t="n">
        <x:v>7865</x:v>
      </x:c>
      <x:c r="D8" s="5" t="n">
        <x:v>52</x:v>
      </x:c>
      <x:c r="E8" s="5" t="n">
        <x:v>13303</x:v>
      </x:c>
      <x:c r="F8" s="5" t="n">
        <x:v>296</x:v>
      </x:c>
      <x:c r="G8" s="5" t="n">
        <x:v>83</x:v>
      </x:c>
      <x:c r="H8" s="5" t="n">
        <x:v>70</x:v>
      </x:c>
      <x:c r="I8" s="1"/>
      <x:c r="J8" s="1"/>
      <x:c r="K8" s="1"/>
      <x:c r="L8" s="1"/>
    </x:row>
    <x:row r="9" ht="22" customHeight="1">
      <x:c r="A9" s="12" t="n">
        <x:v>42128</x:v>
      </x:c>
      <x:c r="B9" s="5" t="n">
        <x:v>19413</x:v>
      </x:c>
      <x:c r="C9" s="5" t="n">
        <x:v>11019</x:v>
      </x:c>
      <x:c r="D9" s="5" t="n">
        <x:v>101</x:v>
      </x:c>
      <x:c r="E9" s="5" t="n">
        <x:v>18681</x:v>
      </x:c>
      <x:c r="F9" s="5" t="n">
        <x:v>578</x:v>
      </x:c>
      <x:c r="G9" s="5" t="n">
        <x:v>154</x:v>
      </x:c>
      <x:c r="H9" s="5" t="n">
        <x:v>128</x:v>
      </x:c>
      <x:c r="I9" s="1"/>
      <x:c r="J9" s="1"/>
      <x:c r="K9" s="1"/>
      <x:c r="L9" s="1"/>
    </x:row>
    <x:row r="10" ht="22" customHeight="1">
      <x:c r="A10" s="12" t="n">
        <x:v>42129</x:v>
      </x:c>
      <x:c r="B10" s="5" t="n">
        <x:v>23011</x:v>
      </x:c>
      <x:c r="C10" s="5" t="n">
        <x:v>13084</x:v>
      </x:c>
      <x:c r="D10" s="5" t="n">
        <x:v>155</x:v>
      </x:c>
      <x:c r="E10" s="5" t="n">
        <x:v>22225</x:v>
      </x:c>
      <x:c r="F10" s="5" t="n">
        <x:v>561</x:v>
      </x:c>
      <x:c r="G10" s="5" t="n">
        <x:v>225</x:v>
      </x:c>
      <x:c r="H10" s="5" t="n">
        <x:v>196</x:v>
      </x:c>
      <x:c r="I10" s="1"/>
      <x:c r="J10" s="1"/>
      <x:c r="K10" s="1"/>
      <x:c r="L10" s="1"/>
    </x:row>
    <x:row r="11" ht="22" customHeight="1">
      <x:c r="A11" s="12" t="n">
        <x:v>42130</x:v>
      </x:c>
      <x:c r="B11" s="5" t="n">
        <x:v>23920</x:v>
      </x:c>
      <x:c r="C11" s="5" t="n">
        <x:v>13687</x:v>
      </x:c>
      <x:c r="D11" s="5" t="n">
        <x:v>151</x:v>
      </x:c>
      <x:c r="E11" s="5" t="n">
        <x:v>23015</x:v>
      </x:c>
      <x:c r="F11" s="5" t="n">
        <x:v>647</x:v>
      </x:c>
      <x:c r="G11" s="5" t="n">
        <x:v>258</x:v>
      </x:c>
      <x:c r="H11" s="5" t="n">
        <x:v>215</x:v>
      </x:c>
      <x:c r="I11" s="1"/>
      <x:c r="J11" s="1"/>
      <x:c r="K11" s="1"/>
      <x:c r="L11" s="1"/>
    </x:row>
    <x:row r="12" ht="22" customHeight="1">
      <x:c r="A12" s="12" t="n">
        <x:v>42131</x:v>
      </x:c>
      <x:c r="B12" s="5" t="n">
        <x:v>23157</x:v>
      </x:c>
      <x:c r="C12" s="5" t="n">
        <x:v>13086</x:v>
      </x:c>
      <x:c r="D12" s="5" t="n">
        <x:v>115</x:v>
      </x:c>
      <x:c r="E12" s="5" t="n">
        <x:v>22368</x:v>
      </x:c>
      <x:c r="F12" s="5" t="n">
        <x:v>572</x:v>
      </x:c>
      <x:c r="G12" s="5" t="n">
        <x:v>217</x:v>
      </x:c>
      <x:c r="H12" s="5" t="n">
        <x:v>167</x:v>
      </x:c>
      <x:c r="I12" s="1"/>
      <x:c r="J12" s="1"/>
      <x:c r="K12" s="1"/>
      <x:c r="L12" s="1"/>
    </x:row>
    <x:row r="13" ht="22" customHeight="1">
      <x:c r="A13" s="12" t="n">
        <x:v>42132</x:v>
      </x:c>
      <x:c r="B13" s="5" t="n">
        <x:v>19423</x:v>
      </x:c>
      <x:c r="C13" s="5" t="n">
        <x:v>11106</x:v>
      </x:c>
      <x:c r="D13" s="5" t="n">
        <x:v>87</x:v>
      </x:c>
      <x:c r="E13" s="5" t="n">
        <x:v>18766</x:v>
      </x:c>
      <x:c r="F13" s="5" t="n">
        <x:v>531</x:v>
      </x:c>
      <x:c r="G13" s="5" t="n">
        <x:v>126</x:v>
      </x:c>
      <x:c r="H13" s="5" t="n">
        <x:v>99</x:v>
      </x:c>
      <x:c r="I13" s="1"/>
      <x:c r="J13" s="1"/>
      <x:c r="K13" s="1"/>
      <x:c r="L13" s="1"/>
    </x:row>
    <x:row r="14" ht="22" customHeight="1">
      <x:c r="A14" s="12" t="n">
        <x:v>42133</x:v>
      </x:c>
      <x:c r="B14" s="5" t="n">
        <x:v>12695</x:v>
      </x:c>
      <x:c r="C14" s="5" t="n">
        <x:v>7610</x:v>
      </x:c>
      <x:c r="D14" s="5" t="n">
        <x:v>41</x:v>
      </x:c>
      <x:c r="E14" s="5" t="n">
        <x:v>12353</x:v>
      </x:c>
      <x:c r="F14" s="5" t="n">
        <x:v>279</x:v>
      </x:c>
      <x:c r="G14" s="5" t="n">
        <x:v>63</x:v>
      </x:c>
      <x:c r="H14" s="5" t="n">
        <x:v>48</x:v>
      </x:c>
      <x:c r="I14" s="1"/>
      <x:c r="J14" s="1"/>
      <x:c r="K14" s="1"/>
      <x:c r="L14" s="1"/>
    </x:row>
    <x:row r="15" ht="22" customHeight="1">
      <x:c r="A15" s="12" t="n">
        <x:v>42134</x:v>
      </x:c>
      <x:c r="B15" s="5" t="n">
        <x:v>12141</x:v>
      </x:c>
      <x:c r="C15" s="5" t="n">
        <x:v>7413</x:v>
      </x:c>
      <x:c r="D15" s="5" t="n">
        <x:v>43</x:v>
      </x:c>
      <x:c r="E15" s="5" t="n">
        <x:v>11771</x:v>
      </x:c>
      <x:c r="F15" s="5" t="n">
        <x:v>310</x:v>
      </x:c>
      <x:c r="G15" s="5" t="n">
        <x:v>60</x:v>
      </x:c>
      <x:c r="H15" s="5" t="n">
        <x:v>49</x:v>
      </x:c>
      <x:c r="I15" s="1"/>
      <x:c r="J15" s="1"/>
      <x:c r="K15" s="1"/>
      <x:c r="L15" s="1"/>
    </x:row>
    <x:row r="16" ht="22" customHeight="1">
      <x:c r="A16" s="12" t="n">
        <x:v>42135</x:v>
      </x:c>
      <x:c r="B16" s="5" t="n">
        <x:v>16174</x:v>
      </x:c>
      <x:c r="C16" s="5" t="n">
        <x:v>9512</x:v>
      </x:c>
      <x:c r="D16" s="5" t="n">
        <x:v>57</x:v>
      </x:c>
      <x:c r="E16" s="5" t="n">
        <x:v>15702</x:v>
      </x:c>
      <x:c r="F16" s="5" t="n">
        <x:v>388</x:v>
      </x:c>
      <x:c r="G16" s="5" t="n">
        <x:v>84</x:v>
      </x:c>
      <x:c r="H16" s="5" t="n">
        <x:v>68</x:v>
      </x:c>
      <x:c r="I16" s="1"/>
      <x:c r="J16" s="1"/>
      <x:c r="K16" s="1"/>
      <x:c r="L16" s="1"/>
    </x:row>
    <x:row r="17" ht="22" customHeight="1">
      <x:c r="A17" s="12" t="n">
        <x:v>42136</x:v>
      </x:c>
      <x:c r="B17" s="5" t="n">
        <x:v>22371</x:v>
      </x:c>
      <x:c r="C17" s="5" t="n">
        <x:v>13041</x:v>
      </x:c>
      <x:c r="D17" s="5" t="n">
        <x:v>122</x:v>
      </x:c>
      <x:c r="E17" s="5" t="n">
        <x:v>21610</x:v>
      </x:c>
      <x:c r="F17" s="5" t="n">
        <x:v>575</x:v>
      </x:c>
      <x:c r="G17" s="5" t="n">
        <x:v>186</x:v>
      </x:c>
      <x:c r="H17" s="5" t="n">
        <x:v>149</x:v>
      </x:c>
      <x:c r="I17" s="1"/>
      <x:c r="J17" s="1"/>
      <x:c r="K17" s="1"/>
      <x:c r="L17" s="1"/>
    </x:row>
    <x:row r="18" ht="22" customHeight="1">
      <x:c r="A18" s="12" t="n">
        <x:v>42137</x:v>
      </x:c>
      <x:c r="B18" s="5" t="n">
        <x:v>23764</x:v>
      </x:c>
      <x:c r="C18" s="5" t="n">
        <x:v>13466</x:v>
      </x:c>
      <x:c r="D18" s="5" t="n">
        <x:v>127</x:v>
      </x:c>
      <x:c r="E18" s="5" t="n">
        <x:v>22975</x:v>
      </x:c>
      <x:c r="F18" s="5" t="n">
        <x:v>581</x:v>
      </x:c>
      <x:c r="G18" s="5" t="n">
        <x:v>208</x:v>
      </x:c>
      <x:c r="H18" s="5" t="n">
        <x:v>169</x:v>
      </x:c>
      <x:c r="I18" s="1"/>
      <x:c r="J18" s="1"/>
      <x:c r="K18" s="1"/>
      <x:c r="L18" s="1"/>
    </x:row>
    <x:row r="19" ht="22" customHeight="1">
      <x:c r="A19" s="12" t="n">
        <x:v>42138</x:v>
      </x:c>
      <x:c r="B19" s="5" t="n">
        <x:v>24153</x:v>
      </x:c>
      <x:c r="C19" s="5" t="n">
        <x:v>13662</x:v>
      </x:c>
      <x:c r="D19" s="5" t="n">
        <x:v>132</x:v>
      </x:c>
      <x:c r="E19" s="5" t="n">
        <x:v>23231</x:v>
      </x:c>
      <x:c r="F19" s="5" t="n">
        <x:v>666</x:v>
      </x:c>
      <x:c r="G19" s="5" t="n">
        <x:v>256</x:v>
      </x:c>
      <x:c r="H19" s="5" t="n">
        <x:v>169</x:v>
      </x:c>
      <x:c r="I19" s="1"/>
      <x:c r="J19" s="1"/>
      <x:c r="K19" s="1"/>
      <x:c r="L19" s="1"/>
    </x:row>
    <x:row r="20" ht="22" customHeight="1">
      <x:c r="A20" s="12" t="n">
        <x:v>42139</x:v>
      </x:c>
      <x:c r="B20" s="5" t="n">
        <x:v>22188</x:v>
      </x:c>
      <x:c r="C20" s="5" t="n">
        <x:v>12745</x:v>
      </x:c>
      <x:c r="D20" s="5" t="n">
        <x:v>112</x:v>
      </x:c>
      <x:c r="E20" s="5" t="n">
        <x:v>21496</x:v>
      </x:c>
      <x:c r="F20" s="5" t="n">
        <x:v>507</x:v>
      </x:c>
      <x:c r="G20" s="5" t="n">
        <x:v>185</x:v>
      </x:c>
      <x:c r="H20" s="5" t="n">
        <x:v>142</x:v>
      </x:c>
      <x:c r="I20" s="1"/>
      <x:c r="J20" s="1"/>
      <x:c r="K20" s="1"/>
      <x:c r="L20" s="1"/>
    </x:row>
    <x:row r="21" ht="22" customHeight="1">
      <x:c r="A21" s="12" t="n">
        <x:v>42140</x:v>
      </x:c>
      <x:c r="B21" s="5" t="n">
        <x:v>19312</x:v>
      </x:c>
      <x:c r="C21" s="5" t="n">
        <x:v>11414</x:v>
      </x:c>
      <x:c r="D21" s="5" t="n">
        <x:v>99</x:v>
      </x:c>
      <x:c r="E21" s="5" t="n">
        <x:v>18765</x:v>
      </x:c>
      <x:c r="F21" s="5" t="n">
        <x:v>417</x:v>
      </x:c>
      <x:c r="G21" s="5" t="n">
        <x:v>130</x:v>
      </x:c>
      <x:c r="H21" s="5" t="n">
        <x:v>110</x:v>
      </x:c>
      <x:c r="I21" s="1"/>
      <x:c r="J21" s="1"/>
      <x:c r="K21" s="1"/>
      <x:c r="L21" s="1"/>
    </x:row>
    <x:row r="22" ht="22" customHeight="1">
      <x:c r="A22" s="12" t="n">
        <x:v>42141</x:v>
      </x:c>
      <x:c r="B22" s="5" t="n">
        <x:v>20878</x:v>
      </x:c>
      <x:c r="C22" s="5" t="n">
        <x:v>11996</x:v>
      </x:c>
      <x:c r="D22" s="5" t="n">
        <x:v>102</x:v>
      </x:c>
      <x:c r="E22" s="5" t="n">
        <x:v>20216</x:v>
      </x:c>
      <x:c r="F22" s="5" t="n">
        <x:v>493</x:v>
      </x:c>
      <x:c r="G22" s="5" t="n">
        <x:v>169</x:v>
      </x:c>
      <x:c r="H22" s="5" t="n">
        <x:v>133</x:v>
      </x:c>
      <x:c r="I22" s="1"/>
      <x:c r="J22" s="1"/>
      <x:c r="K22" s="1"/>
      <x:c r="L22" s="1"/>
    </x:row>
    <x:row r="23" ht="22" customHeight="1">
      <x:c r="A23" s="12" t="n">
        <x:v>42142</x:v>
      </x:c>
      <x:c r="B23" s="5" t="n">
        <x:v>27081</x:v>
      </x:c>
      <x:c r="C23" s="5" t="n">
        <x:v>15476</x:v>
      </x:c>
      <x:c r="D23" s="5" t="n">
        <x:v>146</x:v>
      </x:c>
      <x:c r="E23" s="5" t="n">
        <x:v>26187</x:v>
      </x:c>
      <x:c r="F23" s="5" t="n">
        <x:v>649</x:v>
      </x:c>
      <x:c r="G23" s="5" t="n">
        <x:v>245</x:v>
      </x:c>
      <x:c r="H23" s="5" t="n">
        <x:v>189</x:v>
      </x:c>
      <x:c r="I23" s="1"/>
      <x:c r="J23" s="1"/>
      <x:c r="K23" s="1"/>
      <x:c r="L23" s="1"/>
    </x:row>
    <x:row r="24" ht="22" customHeight="1">
      <x:c r="A24" s="12" t="n">
        <x:v>42143</x:v>
      </x:c>
      <x:c r="B24" s="5" t="n">
        <x:v>26797</x:v>
      </x:c>
      <x:c r="C24" s="5" t="n">
        <x:v>15482</x:v>
      </x:c>
      <x:c r="D24" s="5" t="n">
        <x:v>117</x:v>
      </x:c>
      <x:c r="E24" s="5" t="n">
        <x:v>25949</x:v>
      </x:c>
      <x:c r="F24" s="5" t="n">
        <x:v>652</x:v>
      </x:c>
      <x:c r="G24" s="5" t="n">
        <x:v>196</x:v>
      </x:c>
      <x:c r="H24" s="5" t="n">
        <x:v>171</x:v>
      </x:c>
      <x:c r="I24" s="1"/>
      <x:c r="J24" s="1"/>
      <x:c r="K24" s="1"/>
      <x:c r="L24" s="1"/>
    </x:row>
    <x:row r="25" ht="22" customHeight="1">
      <x:c r="A25" s="12" t="n">
        <x:v>42144</x:v>
      </x:c>
      <x:c r="B25" s="5" t="n">
        <x:v>22235</x:v>
      </x:c>
      <x:c r="C25" s="5" t="n">
        <x:v>13332</x:v>
      </x:c>
      <x:c r="D25" s="5" t="n">
        <x:v>86</x:v>
      </x:c>
      <x:c r="E25" s="5" t="n">
        <x:v>21688</x:v>
      </x:c>
      <x:c r="F25" s="5" t="n">
        <x:v>422</x:v>
      </x:c>
      <x:c r="G25" s="5" t="n">
        <x:v>125</x:v>
      </x:c>
      <x:c r="H25" s="5" t="n">
        <x:v>110</x:v>
      </x:c>
      <x:c r="I25" s="1"/>
      <x:c r="J25" s="1"/>
      <x:c r="K25" s="1"/>
      <x:c r="L25" s="1"/>
    </x:row>
    <x:row r="26" ht="22" customHeight="1">
      <x:c r="A26" s="12" t="n">
        <x:v>42145</x:v>
      </x:c>
      <x:c r="B26" s="5" t="n">
        <x:v>21674</x:v>
      </x:c>
      <x:c r="C26" s="5" t="n">
        <x:v>12738</x:v>
      </x:c>
      <x:c r="D26" s="5" t="n">
        <x:v>78</x:v>
      </x:c>
      <x:c r="E26" s="5" t="n">
        <x:v>20992</x:v>
      </x:c>
      <x:c r="F26" s="5" t="n">
        <x:v>551</x:v>
      </x:c>
      <x:c r="G26" s="5" t="n">
        <x:v>131</x:v>
      </x:c>
      <x:c r="H26" s="5" t="n">
        <x:v>107</x:v>
      </x:c>
      <x:c r="I26" s="1"/>
      <x:c r="J26" s="1"/>
      <x:c r="K26" s="1"/>
      <x:c r="L26" s="1"/>
    </x:row>
    <x:row r="27" ht="22" customHeight="1">
      <x:c r="A27" s="12" t="n">
        <x:v>42146</x:v>
      </x:c>
      <x:c r="B27" s="5" t="n">
        <x:v>21061</x:v>
      </x:c>
      <x:c r="C27" s="5" t="n">
        <x:v>12340</x:v>
      </x:c>
      <x:c r="D27" s="5" t="n">
        <x:v>91</x:v>
      </x:c>
      <x:c r="E27" s="5" t="n">
        <x:v>20445</x:v>
      </x:c>
      <x:c r="F27" s="5" t="n">
        <x:v>462</x:v>
      </x:c>
      <x:c r="G27" s="5" t="n">
        <x:v>154</x:v>
      </x:c>
      <x:c r="H27" s="5" t="n">
        <x:v>114</x:v>
      </x:c>
      <x:c r="I27" s="1"/>
      <x:c r="J27" s="1"/>
      <x:c r="K27" s="1"/>
      <x:c r="L27" s="1"/>
    </x:row>
    <x:row r="28" ht="22" customHeight="1">
      <x:c r="A28" s="12" t="n">
        <x:v>42147</x:v>
      </x:c>
      <x:c r="B28" s="5" t="n">
        <x:v>16406</x:v>
      </x:c>
      <x:c r="C28" s="5" t="n">
        <x:v>9741</x:v>
      </x:c>
      <x:c r="D28" s="5" t="n">
        <x:v>68</x:v>
      </x:c>
      <x:c r="E28" s="5" t="n">
        <x:v>15938</x:v>
      </x:c>
      <x:c r="F28" s="5" t="n">
        <x:v>355</x:v>
      </x:c>
      <x:c r="G28" s="5" t="n">
        <x:v>113</x:v>
      </x:c>
      <x:c r="H28" s="5" t="n">
        <x:v>91</x:v>
      </x:c>
      <x:c r="I28" s="1"/>
      <x:c r="J28" s="1"/>
      <x:c r="K28" s="1"/>
      <x:c r="L28" s="1"/>
    </x:row>
    <x:row r="29" ht="22" customHeight="1">
      <x:c r="A29" s="12" t="n">
        <x:v>42148</x:v>
      </x:c>
      <x:c r="B29" s="5" t="n">
        <x:v>17246</x:v>
      </x:c>
      <x:c r="C29" s="5" t="n">
        <x:v>10453</x:v>
      </x:c>
      <x:c r="D29" s="5" t="n">
        <x:v>66</x:v>
      </x:c>
      <x:c r="E29" s="5" t="n">
        <x:v>16830</x:v>
      </x:c>
      <x:c r="F29" s="5" t="n">
        <x:v>319</x:v>
      </x:c>
      <x:c r="G29" s="5" t="n">
        <x:v>97</x:v>
      </x:c>
      <x:c r="H29" s="5" t="n">
        <x:v>86</x:v>
      </x:c>
      <x:c r="I29" s="1"/>
      <x:c r="J29" s="1"/>
      <x:c r="K29" s="1"/>
      <x:c r="L29" s="1"/>
    </x:row>
    <x:row r="30" ht="22" customHeight="1">
      <x:c r="A30" s="12" t="n">
        <x:v>42149</x:v>
      </x:c>
      <x:c r="B30" s="5" t="n">
        <x:v>23860</x:v>
      </x:c>
      <x:c r="C30" s="5" t="n">
        <x:v>14161</x:v>
      </x:c>
      <x:c r="D30" s="5" t="n">
        <x:v>113</x:v>
      </x:c>
      <x:c r="E30" s="5" t="n">
        <x:v>23106</x:v>
      </x:c>
      <x:c r="F30" s="5" t="n">
        <x:v>576</x:v>
      </x:c>
      <x:c r="G30" s="5" t="n">
        <x:v>178</x:v>
      </x:c>
      <x:c r="H30" s="5" t="n">
        <x:v>147</x:v>
      </x:c>
      <x:c r="I30" s="1"/>
      <x:c r="J30" s="1"/>
      <x:c r="K30" s="1"/>
      <x:c r="L30" s="1"/>
    </x:row>
    <x:row r="31" ht="22" customHeight="1">
      <x:c r="A31" s="12" t="n">
        <x:v>42150</x:v>
      </x:c>
      <x:c r="B31" s="5" t="n">
        <x:v>21996</x:v>
      </x:c>
      <x:c r="C31" s="5" t="n">
        <x:v>12781</x:v>
      </x:c>
      <x:c r="D31" s="5" t="n">
        <x:v>120</x:v>
      </x:c>
      <x:c r="E31" s="5" t="n">
        <x:v>21222</x:v>
      </x:c>
      <x:c r="F31" s="5" t="n">
        <x:v>580</x:v>
      </x:c>
      <x:c r="G31" s="5" t="n">
        <x:v>194</x:v>
      </x:c>
      <x:c r="H31" s="5" t="n">
        <x:v>161</x:v>
      </x:c>
      <x:c r="I31" s="1"/>
      <x:c r="J31" s="1"/>
      <x:c r="K31" s="1"/>
      <x:c r="L31" s="1"/>
    </x:row>
    <x:row r="32" ht="22" customHeight="1">
      <x:c r="A32" s="12" t="n">
        <x:v>42151</x:v>
      </x:c>
      <x:c r="B32" s="5" t="n">
        <x:v>21931</x:v>
      </x:c>
      <x:c r="C32" s="5" t="n">
        <x:v>12828</x:v>
      </x:c>
      <x:c r="D32" s="5" t="n">
        <x:v>115</x:v>
      </x:c>
      <x:c r="E32" s="5" t="n">
        <x:v>21210</x:v>
      </x:c>
      <x:c r="F32" s="5" t="n">
        <x:v>524</x:v>
      </x:c>
      <x:c r="G32" s="5" t="n">
        <x:v>197</x:v>
      </x:c>
      <x:c r="H32" s="5" t="n">
        <x:v>155</x:v>
      </x:c>
      <x:c r="I32" s="1"/>
      <x:c r="J32" s="1"/>
      <x:c r="K32" s="1"/>
      <x:c r="L32" s="1"/>
    </x:row>
    <x:row r="33" ht="22" customHeight="1">
      <x:c r="A33" s="12" t="n">
        <x:v>42152</x:v>
      </x:c>
      <x:c r="B33" s="5" t="n">
        <x:v>22020</x:v>
      </x:c>
      <x:c r="C33" s="5" t="n">
        <x:v>12956</x:v>
      </x:c>
      <x:c r="D33" s="5" t="n">
        <x:v>122</x:v>
      </x:c>
      <x:c r="E33" s="5" t="n">
        <x:v>21214</x:v>
      </x:c>
      <x:c r="F33" s="5" t="n">
        <x:v>581</x:v>
      </x:c>
      <x:c r="G33" s="5" t="n">
        <x:v>225</x:v>
      </x:c>
      <x:c r="H33" s="5" t="n">
        <x:v>177</x:v>
      </x:c>
      <x:c r="I33" s="1"/>
      <x:c r="J33" s="1"/>
      <x:c r="K33" s="1"/>
      <x:c r="L33" s="1"/>
    </x:row>
    <x:row r="34" ht="22" customHeight="1">
      <x:c r="A34" s="12" t="n">
        <x:v>42153</x:v>
      </x:c>
      <x:c r="B34" s="5" t="n">
        <x:v>19570</x:v>
      </x:c>
      <x:c r="C34" s="5" t="n">
        <x:v>11957</x:v>
      </x:c>
      <x:c r="D34" s="5" t="n">
        <x:v>76</x:v>
      </x:c>
      <x:c r="E34" s="5" t="n">
        <x:v>18986</x:v>
      </x:c>
      <x:c r="F34" s="5" t="n">
        <x:v>447</x:v>
      </x:c>
      <x:c r="G34" s="5" t="n">
        <x:v>137</x:v>
      </x:c>
      <x:c r="H34" s="5" t="n">
        <x:v>93</x:v>
      </x:c>
      <x:c r="I34" s="1"/>
      <x:c r="J34" s="1"/>
      <x:c r="K34" s="1"/>
      <x:c r="L34" s="1"/>
    </x:row>
    <x:row r="35" ht="22" customHeight="1">
      <x:c r="A35" s="12" t="n">
        <x:v>42154</x:v>
      </x:c>
      <x:c r="B35" s="5" t="n">
        <x:v>16028</x:v>
      </x:c>
      <x:c r="C35" s="5" t="n">
        <x:v>9684</x:v>
      </x:c>
      <x:c r="D35" s="5" t="n">
        <x:v>67</x:v>
      </x:c>
      <x:c r="E35" s="5" t="n">
        <x:v>15463</x:v>
      </x:c>
      <x:c r="F35" s="5" t="n">
        <x:v>449</x:v>
      </x:c>
      <x:c r="G35" s="5" t="n">
        <x:v>116</x:v>
      </x:c>
      <x:c r="H35" s="5" t="n">
        <x:v>90</x:v>
      </x:c>
      <x:c r="I35" s="1"/>
      <x:c r="J35" s="1"/>
      <x:c r="K35" s="1"/>
      <x:c r="L35" s="1"/>
    </x:row>
    <x:row r="36" ht="22" customHeight="1">
      <x:c r="A36" s="12" t="n">
        <x:v>42155</x:v>
      </x:c>
      <x:c r="B36" s="5" t="n">
        <x:v>16397</x:v>
      </x:c>
      <x:c r="C36" s="5" t="n">
        <x:v>9936</x:v>
      </x:c>
      <x:c r="D36" s="5" t="n">
        <x:v>66</x:v>
      </x:c>
      <x:c r="E36" s="5" t="n">
        <x:v>15948</x:v>
      </x:c>
      <x:c r="F36" s="5" t="n">
        <x:v>350</x:v>
      </x:c>
      <x:c r="G36" s="5" t="n">
        <x:v>99</x:v>
      </x:c>
      <x:c r="H36" s="5" t="n">
        <x:v>84</x:v>
      </x:c>
      <x:c r="I36" s="1"/>
      <x:c r="J36" s="1"/>
      <x:c r="K36" s="1"/>
      <x:c r="L36" s="1"/>
    </x:row>
    <x:row r="37" ht="22" customHeight="1">
      <x:c r="A37" s="12" t="n">
        <x:v>42156</x:v>
      </x:c>
      <x:c r="B37" s="5" t="n">
        <x:v>22792</x:v>
      </x:c>
      <x:c r="C37" s="5" t="n">
        <x:v>13257</x:v>
      </x:c>
      <x:c r="D37" s="5" t="n">
        <x:v>117</x:v>
      </x:c>
      <x:c r="E37" s="5" t="n">
        <x:v>22073</x:v>
      </x:c>
      <x:c r="F37" s="5" t="n">
        <x:v>519</x:v>
      </x:c>
      <x:c r="G37" s="5" t="n">
        <x:v>200</x:v>
      </x:c>
      <x:c r="H37" s="5" t="n">
        <x:v>154</x:v>
      </x:c>
      <x:c r="I37" s="1"/>
      <x:c r="J37" s="1"/>
      <x:c r="K37" s="1"/>
      <x:c r="L37" s="1"/>
    </x:row>
    <x:row r="38" ht="22" customHeight="1">
      <x:c r="A38" s="12" t="n">
        <x:v>42157</x:v>
      </x:c>
      <x:c r="B38" s="5" t="n">
        <x:v>23332</x:v>
      </x:c>
      <x:c r="C38" s="5" t="n">
        <x:v>13534</x:v>
      </x:c>
      <x:c r="D38" s="5" t="n">
        <x:v>132</x:v>
      </x:c>
      <x:c r="E38" s="5" t="n">
        <x:v>22604</x:v>
      </x:c>
      <x:c r="F38" s="5" t="n">
        <x:v>522</x:v>
      </x:c>
      <x:c r="G38" s="5" t="n">
        <x:v>206</x:v>
      </x:c>
      <x:c r="H38" s="5" t="n">
        <x:v>162</x:v>
      </x:c>
      <x:c r="I38" s="1"/>
      <x:c r="J38" s="1"/>
      <x:c r="K38" s="1"/>
      <x:c r="L38" s="1"/>
    </x:row>
    <x:row r="39" ht="22" customHeight="1">
      <x:c r="A39" s="12" t="n">
        <x:v>42158</x:v>
      </x:c>
      <x:c r="B39" s="5" t="n">
        <x:v>23559</x:v>
      </x:c>
      <x:c r="C39" s="5" t="n">
        <x:v>13414</x:v>
      </x:c>
      <x:c r="D39" s="5" t="n">
        <x:v>115</x:v>
      </x:c>
      <x:c r="E39" s="5" t="n">
        <x:v>22776</x:v>
      </x:c>
      <x:c r="F39" s="5" t="n">
        <x:v>579</x:v>
      </x:c>
      <x:c r="G39" s="5" t="n">
        <x:v>204</x:v>
      </x:c>
      <x:c r="H39" s="5" t="n">
        <x:v>156</x:v>
      </x:c>
      <x:c r="I39" s="1"/>
      <x:c r="J39" s="1"/>
      <x:c r="K39" s="1"/>
      <x:c r="L39" s="1"/>
    </x:row>
    <x:row r="40" ht="22" customHeight="1">
      <x:c r="A40" s="12" t="n">
        <x:v>42159</x:v>
      </x:c>
      <x:c r="B40" s="5" t="n">
        <x:v>23629</x:v>
      </x:c>
      <x:c r="C40" s="5" t="n">
        <x:v>13088</x:v>
      </x:c>
      <x:c r="D40" s="5" t="n">
        <x:v>117</x:v>
      </x:c>
      <x:c r="E40" s="5" t="n">
        <x:v>22820</x:v>
      </x:c>
      <x:c r="F40" s="5" t="n">
        <x:v>604</x:v>
      </x:c>
      <x:c r="G40" s="5" t="n">
        <x:v>205</x:v>
      </x:c>
      <x:c r="H40" s="5" t="n">
        <x:v>167</x:v>
      </x:c>
      <x:c r="I40" s="1"/>
      <x:c r="J40" s="1"/>
      <x:c r="K40" s="1"/>
      <x:c r="L40" s="1"/>
    </x:row>
    <x:row r="41" ht="22" customHeight="1">
      <x:c r="A41" s="12" t="n">
        <x:v>42160</x:v>
      </x:c>
      <x:c r="B41" s="5" t="n">
        <x:v>20811</x:v>
      </x:c>
      <x:c r="C41" s="5" t="n">
        <x:v>12137</x:v>
      </x:c>
      <x:c r="D41" s="5" t="n">
        <x:v>86</x:v>
      </x:c>
      <x:c r="E41" s="5" t="n">
        <x:v>20213</x:v>
      </x:c>
      <x:c r="F41" s="5" t="n">
        <x:v>449</x:v>
      </x:c>
      <x:c r="G41" s="5" t="n">
        <x:v>149</x:v>
      </x:c>
      <x:c r="H41" s="5" t="n">
        <x:v>122</x:v>
      </x:c>
      <x:c r="I41" s="1"/>
      <x:c r="J41" s="1"/>
      <x:c r="K41" s="1"/>
      <x:c r="L41" s="1"/>
    </x:row>
    <x:row r="42" ht="22" customHeight="1">
      <x:c r="A42" s="12" t="n">
        <x:v>42161</x:v>
      </x:c>
      <x:c r="B42" s="5" t="n">
        <x:v>16155</x:v>
      </x:c>
      <x:c r="C42" s="5" t="n">
        <x:v>9698</x:v>
      </x:c>
      <x:c r="D42" s="5" t="n">
        <x:v>58</x:v>
      </x:c>
      <x:c r="E42" s="5" t="n">
        <x:v>15679</x:v>
      </x:c>
      <x:c r="F42" s="5" t="n">
        <x:v>372</x:v>
      </x:c>
      <x:c r="G42" s="5" t="n">
        <x:v>104</x:v>
      </x:c>
      <x:c r="H42" s="5" t="n">
        <x:v>83</x:v>
      </x:c>
      <x:c r="I42" s="1"/>
      <x:c r="J42" s="1"/>
      <x:c r="K42" s="1"/>
      <x:c r="L42" s="1"/>
    </x:row>
    <x:row r="43" ht="22" customHeight="1">
      <x:c r="A43" s="12" t="n">
        <x:v>42162</x:v>
      </x:c>
      <x:c r="B43" s="5" t="n">
        <x:v>16148</x:v>
      </x:c>
      <x:c r="C43" s="5" t="n">
        <x:v>9423</x:v>
      </x:c>
      <x:c r="D43" s="5" t="n">
        <x:v>68</x:v>
      </x:c>
      <x:c r="E43" s="5" t="n">
        <x:v>15697</x:v>
      </x:c>
      <x:c r="F43" s="5" t="n">
        <x:v>345</x:v>
      </x:c>
      <x:c r="G43" s="5" t="n">
        <x:v>106</x:v>
      </x:c>
      <x:c r="H43" s="5" t="n">
        <x:v>87</x:v>
      </x:c>
      <x:c r="I43" s="1"/>
      <x:c r="J43" s="1"/>
      <x:c r="K43" s="1"/>
      <x:c r="L43" s="1"/>
    </x:row>
    <x:row r="44" ht="22" customHeight="1">
      <x:c r="A44" s="12" t="n">
        <x:v>42163</x:v>
      </x:c>
      <x:c r="B44" s="5" t="n">
        <x:v>20936</x:v>
      </x:c>
      <x:c r="C44" s="5" t="n">
        <x:v>12521</x:v>
      </x:c>
      <x:c r="D44" s="5" t="n">
        <x:v>109</x:v>
      </x:c>
      <x:c r="E44" s="5" t="n">
        <x:v>20207</x:v>
      </x:c>
      <x:c r="F44" s="5" t="n">
        <x:v>537</x:v>
      </x:c>
      <x:c r="G44" s="5" t="n">
        <x:v>192</x:v>
      </x:c>
      <x:c r="H44" s="5" t="n">
        <x:v>152</x:v>
      </x:c>
      <x:c r="I44" s="1"/>
      <x:c r="J44" s="1"/>
      <x:c r="K44" s="1"/>
      <x:c r="L44" s="1"/>
    </x:row>
    <x:row r="45" ht="22" customHeight="1">
      <x:c r="A45" s="12" t="n">
        <x:v>42164</x:v>
      </x:c>
      <x:c r="B45" s="5" t="n">
        <x:v>23679</x:v>
      </x:c>
      <x:c r="C45" s="5" t="n">
        <x:v>13684</x:v>
      </x:c>
      <x:c r="D45" s="5" t="n">
        <x:v>79</x:v>
      </x:c>
      <x:c r="E45" s="5" t="n">
        <x:v>23078</x:v>
      </x:c>
      <x:c r="F45" s="5" t="n">
        <x:v>469</x:v>
      </x:c>
      <x:c r="G45" s="5" t="n">
        <x:v>132</x:v>
      </x:c>
      <x:c r="H45" s="5" t="n">
        <x:v>116</x:v>
      </x:c>
      <x:c r="I45" s="1"/>
      <x:c r="J45" s="1"/>
      <x:c r="K45" s="1"/>
      <x:c r="L45" s="1"/>
    </x:row>
    <x:row r="46" ht="22" customHeight="1">
      <x:c r="A46" s="12" t="n">
        <x:v>42165</x:v>
      </x:c>
      <x:c r="B46" s="5" t="n">
        <x:v>24020</x:v>
      </x:c>
      <x:c r="C46" s="5" t="n">
        <x:v>13995</x:v>
      </x:c>
      <x:c r="D46" s="5" t="n">
        <x:v>115</x:v>
      </x:c>
      <x:c r="E46" s="5" t="n">
        <x:v>23213</x:v>
      </x:c>
      <x:c r="F46" s="5" t="n">
        <x:v>597</x:v>
      </x:c>
      <x:c r="G46" s="5" t="n">
        <x:v>210</x:v>
      </x:c>
      <x:c r="H46" s="5" t="n">
        <x:v>163</x:v>
      </x:c>
      <x:c r="I46" s="1"/>
      <x:c r="J46" s="1"/>
      <x:c r="K46" s="1"/>
      <x:c r="L46" s="1"/>
    </x:row>
    <x:row r="47" ht="22" customHeight="1">
      <x:c r="A47" s="12" t="n">
        <x:v>42166</x:v>
      </x:c>
      <x:c r="B47" s="5" t="n">
        <x:v>20907</x:v>
      </x:c>
      <x:c r="C47" s="5" t="n">
        <x:v>12387</x:v>
      </x:c>
      <x:c r="D47" s="5" t="n">
        <x:v>82</x:v>
      </x:c>
      <x:c r="E47" s="5" t="n">
        <x:v>20253</x:v>
      </x:c>
      <x:c r="F47" s="5" t="n">
        <x:v>497</x:v>
      </x:c>
      <x:c r="G47" s="5" t="n">
        <x:v>157</x:v>
      </x:c>
      <x:c r="H47" s="5" t="n">
        <x:v>115</x:v>
      </x:c>
      <x:c r="I47" s="1"/>
      <x:c r="J47" s="1"/>
      <x:c r="K47" s="1"/>
      <x:c r="L47" s="1"/>
    </x:row>
    <x:row r="48" ht="22" customHeight="1">
      <x:c r="A48" s="12" t="n">
        <x:v>42167</x:v>
      </x:c>
      <x:c r="B48" s="5" t="n">
        <x:v>15865</x:v>
      </x:c>
      <x:c r="C48" s="5" t="n">
        <x:v>9281</x:v>
      </x:c>
      <x:c r="D48" s="5" t="n">
        <x:v>61</x:v>
      </x:c>
      <x:c r="E48" s="5" t="n">
        <x:v>15426</x:v>
      </x:c>
      <x:c r="F48" s="5" t="n">
        <x:v>332</x:v>
      </x:c>
      <x:c r="G48" s="5" t="n">
        <x:v>107</x:v>
      </x:c>
      <x:c r="H48" s="5" t="n">
        <x:v>91</x:v>
      </x:c>
      <x:c r="I48" s="1"/>
      <x:c r="J48" s="1"/>
      <x:c r="K48" s="1"/>
      <x:c r="L48" s="1"/>
    </x:row>
    <x:row r="49" ht="22" customHeight="1">
      <x:c r="A49" s="12" t="n">
        <x:v>42168</x:v>
      </x:c>
      <x:c r="B49" s="5" t="n">
        <x:v>12269</x:v>
      </x:c>
      <x:c r="C49" s="5" t="n">
        <x:v>7465</x:v>
      </x:c>
      <x:c r="D49" s="5" t="n">
        <x:v>45</x:v>
      </x:c>
      <x:c r="E49" s="5" t="n">
        <x:v>11932</x:v>
      </x:c>
      <x:c r="F49" s="5" t="n">
        <x:v>277</x:v>
      </x:c>
      <x:c r="G49" s="5" t="n">
        <x:v>60</x:v>
      </x:c>
      <x:c r="H49" s="5" t="n">
        <x:v>53</x:v>
      </x:c>
      <x:c r="I49" s="1"/>
      <x:c r="J49" s="1"/>
      <x:c r="K49" s="1"/>
      <x:c r="L49" s="1"/>
    </x:row>
    <x:row r="50" ht="22" customHeight="1">
      <x:c r="A50" s="12" t="n">
        <x:v>42169</x:v>
      </x:c>
      <x:c r="B50" s="5" t="n">
        <x:v>14151</x:v>
      </x:c>
      <x:c r="C50" s="5" t="n">
        <x:v>8406</x:v>
      </x:c>
      <x:c r="D50" s="5" t="n">
        <x:v>62</x:v>
      </x:c>
      <x:c r="E50" s="5" t="n">
        <x:v>13690</x:v>
      </x:c>
      <x:c r="F50" s="5" t="n">
        <x:v>353</x:v>
      </x:c>
      <x:c r="G50" s="5" t="n">
        <x:v>108</x:v>
      </x:c>
      <x:c r="H50" s="5" t="n">
        <x:v>77</x:v>
      </x:c>
      <x:c r="I50" s="1"/>
      <x:c r="J50" s="1"/>
      <x:c r="K50" s="1"/>
      <x:c r="L50" s="1"/>
    </x:row>
    <x:row r="51" ht="22" customHeight="1">
      <x:c r="A51" s="12" t="n">
        <x:v>42170</x:v>
      </x:c>
      <x:c r="B51" s="5" t="n">
        <x:v>22266</x:v>
      </x:c>
      <x:c r="C51" s="5" t="n">
        <x:v>12558</x:v>
      </x:c>
      <x:c r="D51" s="5" t="n">
        <x:v>112</x:v>
      </x:c>
      <x:c r="E51" s="5" t="n">
        <x:v>21451</x:v>
      </x:c>
      <x:c r="F51" s="5" t="n">
        <x:v>624</x:v>
      </x:c>
      <x:c r="G51" s="5" t="n">
        <x:v>191</x:v>
      </x:c>
      <x:c r="H51" s="5" t="n">
        <x:v>165</x:v>
      </x:c>
      <x:c r="I51" s="1"/>
      <x:c r="J51" s="1"/>
      <x:c r="K51" s="1"/>
      <x:c r="L51" s="1"/>
    </x:row>
    <x:row r="52" ht="22" customHeight="1">
      <x:c r="A52" s="12" t="n">
        <x:v>42171</x:v>
      </x:c>
      <x:c r="B52" s="5" t="n">
        <x:v>24664</x:v>
      </x:c>
      <x:c r="C52" s="5" t="n">
        <x:v>13653</x:v>
      </x:c>
      <x:c r="D52" s="5" t="n">
        <x:v>163</x:v>
      </x:c>
      <x:c r="E52" s="5" t="n">
        <x:v>23589</x:v>
      </x:c>
      <x:c r="F52" s="5" t="n">
        <x:v>799</x:v>
      </x:c>
      <x:c r="G52" s="5" t="n">
        <x:v>276</x:v>
      </x:c>
      <x:c r="H52" s="5" t="n">
        <x:v>216</x:v>
      </x:c>
      <x:c r="I52" s="1"/>
      <x:c r="J52" s="1"/>
      <x:c r="K52" s="1"/>
      <x:c r="L52" s="1"/>
    </x:row>
    <x:row r="53" ht="22" customHeight="1">
      <x:c r="A53" s="12" t="n">
        <x:v>42172</x:v>
      </x:c>
      <x:c r="B53" s="5" t="n">
        <x:v>23891</x:v>
      </x:c>
      <x:c r="C53" s="5" t="n">
        <x:v>13392</x:v>
      </x:c>
      <x:c r="D53" s="5" t="n">
        <x:v>158</x:v>
      </x:c>
      <x:c r="E53" s="5" t="n">
        <x:v>22948</x:v>
      </x:c>
      <x:c r="F53" s="5" t="n">
        <x:v>674</x:v>
      </x:c>
      <x:c r="G53" s="5" t="n">
        <x:v>269</x:v>
      </x:c>
      <x:c r="H53" s="5" t="n">
        <x:v>204</x:v>
      </x:c>
      <x:c r="I53" s="1"/>
      <x:c r="J53" s="1"/>
      <x:c r="K53" s="1"/>
      <x:c r="L53" s="1"/>
    </x:row>
    <x:row r="54" ht="22" customHeight="1">
      <x:c r="A54" s="12" t="n">
        <x:v>42173</x:v>
      </x:c>
      <x:c r="B54" s="5" t="n">
        <x:v>23322</x:v>
      </x:c>
      <x:c r="C54" s="5" t="n">
        <x:v>13113</x:v>
      </x:c>
      <x:c r="D54" s="5" t="n">
        <x:v>134</x:v>
      </x:c>
      <x:c r="E54" s="5" t="n">
        <x:v>22402</x:v>
      </x:c>
      <x:c r="F54" s="5" t="n">
        <x:v>700</x:v>
      </x:c>
      <x:c r="G54" s="5" t="n">
        <x:v>220</x:v>
      </x:c>
      <x:c r="H54" s="5" t="n">
        <x:v>166</x:v>
      </x:c>
      <x:c r="I54" s="1"/>
      <x:c r="J54" s="1"/>
      <x:c r="K54" s="1"/>
      <x:c r="L54" s="1"/>
    </x:row>
    <x:row r="55" ht="22" customHeight="1">
      <x:c r="A55" s="12" t="n">
        <x:v>42174</x:v>
      </x:c>
      <x:c r="B55" s="5" t="n">
        <x:v>20619</x:v>
      </x:c>
      <x:c r="C55" s="5" t="n">
        <x:v>11504</x:v>
      </x:c>
      <x:c r="D55" s="5" t="n">
        <x:v>86</x:v>
      </x:c>
      <x:c r="E55" s="5" t="n">
        <x:v>19961</x:v>
      </x:c>
      <x:c r="F55" s="5" t="n">
        <x:v>492</x:v>
      </x:c>
      <x:c r="G55" s="5" t="n">
        <x:v>166</x:v>
      </x:c>
      <x:c r="H55" s="5" t="n">
        <x:v>129</x:v>
      </x:c>
      <x:c r="I55" s="1"/>
      <x:c r="J55" s="1"/>
      <x:c r="K55" s="1"/>
      <x:c r="L55" s="1"/>
    </x:row>
    <x:row r="56" ht="22" customHeight="1">
      <x:c r="A56" s="12" t="n">
        <x:v>42175</x:v>
      </x:c>
      <x:c r="B56" s="5" t="n">
        <x:v>15565</x:v>
      </x:c>
      <x:c r="C56" s="5" t="n">
        <x:v>8818</x:v>
      </x:c>
      <x:c r="D56" s="5" t="n">
        <x:v>56</x:v>
      </x:c>
      <x:c r="E56" s="5" t="n">
        <x:v>15053</x:v>
      </x:c>
      <x:c r="F56" s="5" t="n">
        <x:v>401</x:v>
      </x:c>
      <x:c r="G56" s="5" t="n">
        <x:v>111</x:v>
      </x:c>
      <x:c r="H56" s="5" t="n">
        <x:v>76</x:v>
      </x:c>
      <x:c r="I56" s="1"/>
      <x:c r="J56" s="1"/>
      <x:c r="K56" s="1"/>
      <x:c r="L56" s="1"/>
    </x:row>
    <x:row r="57" ht="22" customHeight="1">
      <x:c r="A57" s="12" t="n">
        <x:v>42176</x:v>
      </x:c>
      <x:c r="B57" s="5" t="n">
        <x:v>15630</x:v>
      </x:c>
      <x:c r="C57" s="5" t="n">
        <x:v>9337</x:v>
      </x:c>
      <x:c r="D57" s="5" t="n">
        <x:v>56</x:v>
      </x:c>
      <x:c r="E57" s="5" t="n">
        <x:v>15216</x:v>
      </x:c>
      <x:c r="F57" s="5" t="n">
        <x:v>331</x:v>
      </x:c>
      <x:c r="G57" s="5" t="n">
        <x:v>83</x:v>
      </x:c>
      <x:c r="H57" s="5" t="n">
        <x:v>68</x:v>
      </x:c>
      <x:c r="I57" s="1"/>
      <x:c r="J57" s="1"/>
      <x:c r="K57" s="1"/>
      <x:c r="L57" s="1"/>
    </x:row>
    <x:row r="58" ht="22" customHeight="1">
      <x:c r="A58" s="12" t="n">
        <x:v>42177</x:v>
      </x:c>
      <x:c r="B58" s="5" t="n">
        <x:v>23293</x:v>
      </x:c>
      <x:c r="C58" s="5" t="n">
        <x:v>12834</x:v>
      </x:c>
      <x:c r="D58" s="5" t="n">
        <x:v>144</x:v>
      </x:c>
      <x:c r="E58" s="5" t="n">
        <x:v>22462</x:v>
      </x:c>
      <x:c r="F58" s="5" t="n">
        <x:v>597</x:v>
      </x:c>
      <x:c r="G58" s="5" t="n">
        <x:v>234</x:v>
      </x:c>
      <x:c r="H58" s="5" t="n">
        <x:v>202</x:v>
      </x:c>
      <x:c r="I58" s="1"/>
      <x:c r="J58" s="1"/>
      <x:c r="K58" s="1"/>
      <x:c r="L58" s="1"/>
    </x:row>
    <x:row r="59" ht="22" customHeight="1">
      <x:c r="A59" s="12" t="n">
        <x:v>42178</x:v>
      </x:c>
      <x:c r="B59" s="5" t="n">
        <x:v>23615</x:v>
      </x:c>
      <x:c r="C59" s="5" t="n">
        <x:v>13098</x:v>
      </x:c>
      <x:c r="D59" s="5" t="n">
        <x:v>146</x:v>
      </x:c>
      <x:c r="E59" s="5" t="n">
        <x:v>22733</x:v>
      </x:c>
      <x:c r="F59" s="5" t="n">
        <x:v>632</x:v>
      </x:c>
      <x:c r="G59" s="5" t="n">
        <x:v>250</x:v>
      </x:c>
      <x:c r="H59" s="5" t="n">
        <x:v>198</x:v>
      </x:c>
      <x:c r="I59" s="1"/>
      <x:c r="J59" s="1"/>
      <x:c r="K59" s="1"/>
      <x:c r="L59" s="1"/>
    </x:row>
    <x:row r="60" ht="22" customHeight="1">
      <x:c r="A60" s="12" t="n">
        <x:v>42179</x:v>
      </x:c>
      <x:c r="B60" s="5" t="n">
        <x:v>21959</x:v>
      </x:c>
      <x:c r="C60" s="5" t="n">
        <x:v>12451</x:v>
      </x:c>
      <x:c r="D60" s="5" t="n">
        <x:v>109</x:v>
      </x:c>
      <x:c r="E60" s="5" t="n">
        <x:v>21199</x:v>
      </x:c>
      <x:c r="F60" s="5" t="n">
        <x:v>583</x:v>
      </x:c>
      <x:c r="G60" s="5" t="n">
        <x:v>177</x:v>
      </x:c>
      <x:c r="H60" s="5" t="n">
        <x:v>153</x:v>
      </x:c>
      <x:c r="I60" s="1"/>
      <x:c r="J60" s="1"/>
      <x:c r="K60" s="1"/>
      <x:c r="L60" s="1"/>
    </x:row>
    <x:row r="61" ht="22" customHeight="1">
      <x:c r="A61" s="12" t="n">
        <x:v>42180</x:v>
      </x:c>
      <x:c r="B61" s="5" t="n">
        <x:v>20270</x:v>
      </x:c>
      <x:c r="C61" s="5" t="n">
        <x:v>11793</x:v>
      </x:c>
      <x:c r="D61" s="5" t="n">
        <x:v>130</x:v>
      </x:c>
      <x:c r="E61" s="5" t="n">
        <x:v>19557</x:v>
      </x:c>
      <x:c r="F61" s="5" t="n">
        <x:v>509</x:v>
      </x:c>
      <x:c r="G61" s="5" t="n">
        <x:v>204</x:v>
      </x:c>
      <x:c r="H61" s="5" t="n">
        <x:v>170</x:v>
      </x:c>
      <x:c r="I61" s="1"/>
      <x:c r="J61" s="1"/>
      <x:c r="K61" s="1"/>
      <x:c r="L61" s="1"/>
    </x:row>
    <x:row r="62" ht="22" customHeight="1">
      <x:c r="A62" s="12" t="n">
        <x:v>42181</x:v>
      </x:c>
      <x:c r="B62" s="5" t="n">
        <x:v>19871</x:v>
      </x:c>
      <x:c r="C62" s="5" t="n">
        <x:v>11734</x:v>
      </x:c>
      <x:c r="D62" s="5" t="n">
        <x:v>109</x:v>
      </x:c>
      <x:c r="E62" s="5" t="n">
        <x:v>19215</x:v>
      </x:c>
      <x:c r="F62" s="5" t="n">
        <x:v>479</x:v>
      </x:c>
      <x:c r="G62" s="5" t="n">
        <x:v>177</x:v>
      </x:c>
      <x:c r="H62" s="5" t="n">
        <x:v>145</x:v>
      </x:c>
      <x:c r="I62" s="1"/>
      <x:c r="J62" s="1"/>
      <x:c r="K62" s="1"/>
      <x:c r="L62" s="1"/>
    </x:row>
    <x:row r="63" ht="22" customHeight="1">
      <x:c r="A63" s="12" t="n">
        <x:v>42182</x:v>
      </x:c>
      <x:c r="B63" s="5" t="n">
        <x:v>15474</x:v>
      </x:c>
      <x:c r="C63" s="5" t="n">
        <x:v>9098</x:v>
      </x:c>
      <x:c r="D63" s="5" t="n">
        <x:v>53</x:v>
      </x:c>
      <x:c r="E63" s="5" t="n">
        <x:v>15014</x:v>
      </x:c>
      <x:c r="F63" s="5" t="n">
        <x:v>369</x:v>
      </x:c>
      <x:c r="G63" s="5" t="n">
        <x:v>91</x:v>
      </x:c>
      <x:c r="H63" s="5" t="n">
        <x:v>76</x:v>
      </x:c>
      <x:c r="I63" s="1"/>
      <x:c r="J63" s="1"/>
      <x:c r="K63" s="1"/>
      <x:c r="L63" s="1"/>
    </x:row>
    <x:row r="64" ht="22" customHeight="1">
      <x:c r="A64" s="12" t="n">
        <x:v>42183</x:v>
      </x:c>
      <x:c r="B64" s="5" t="n">
        <x:v>17195</x:v>
      </x:c>
      <x:c r="C64" s="5" t="n">
        <x:v>10131</x:v>
      </x:c>
      <x:c r="D64" s="5" t="n">
        <x:v>57</x:v>
      </x:c>
      <x:c r="E64" s="5" t="n">
        <x:v>16764</x:v>
      </x:c>
      <x:c r="F64" s="5" t="n">
        <x:v>342</x:v>
      </x:c>
      <x:c r="G64" s="5" t="n">
        <x:v>89</x:v>
      </x:c>
      <x:c r="H64" s="5" t="n">
        <x:v>76</x:v>
      </x:c>
      <x:c r="I64" s="1"/>
      <x:c r="J64" s="1"/>
      <x:c r="K64" s="1"/>
      <x:c r="L64" s="1"/>
    </x:row>
    <x:row r="65" ht="22" customHeight="1">
      <x:c r="A65" s="12" t="n">
        <x:v>42184</x:v>
      </x:c>
      <x:c r="B65" s="5" t="n">
        <x:v>22981</x:v>
      </x:c>
      <x:c r="C65" s="5" t="n">
        <x:v>13190</x:v>
      </x:c>
      <x:c r="D65" s="5" t="n">
        <x:v>126</x:v>
      </x:c>
      <x:c r="E65" s="5" t="n">
        <x:v>22257</x:v>
      </x:c>
      <x:c r="F65" s="5" t="n">
        <x:v>521</x:v>
      </x:c>
      <x:c r="G65" s="5" t="n">
        <x:v>203</x:v>
      </x:c>
      <x:c r="H65" s="5" t="n">
        <x:v>167</x:v>
      </x:c>
      <x:c r="I65" s="1"/>
      <x:c r="J65" s="1"/>
      <x:c r="K65" s="1"/>
      <x:c r="L65" s="1"/>
    </x:row>
    <x:row r="66" ht="22" customHeight="1">
      <x:c r="A66" s="12" t="n">
        <x:v>42185</x:v>
      </x:c>
      <x:c r="B66" s="5" t="n">
        <x:v>21445</x:v>
      </x:c>
      <x:c r="C66" s="5" t="n">
        <x:v>12569</x:v>
      </x:c>
      <x:c r="D66" s="5" t="n">
        <x:v>96</x:v>
      </x:c>
      <x:c r="E66" s="5" t="n">
        <x:v>20757</x:v>
      </x:c>
      <x:c r="F66" s="5" t="n">
        <x:v>526</x:v>
      </x:c>
      <x:c r="G66" s="5" t="n">
        <x:v>162</x:v>
      </x:c>
      <x:c r="H66" s="5" t="n">
        <x:v>128</x:v>
      </x:c>
      <x:c r="I66" s="1"/>
      <x:c r="J66" s="1"/>
      <x:c r="K66" s="1"/>
      <x:c r="L66" s="1"/>
    </x:row>
    <x:row r="67" ht="22" customHeight="1">
      <x:c r="A67" s="12" t="n">
        <x:v>42186</x:v>
      </x:c>
      <x:c r="B67" s="5" t="n">
        <x:v>20764</x:v>
      </x:c>
      <x:c r="C67" s="5" t="n">
        <x:v>12157</x:v>
      </x:c>
      <x:c r="D67" s="5" t="n">
        <x:v>124</x:v>
      </x:c>
      <x:c r="E67" s="5" t="n">
        <x:v>20089</x:v>
      </x:c>
      <x:c r="F67" s="5" t="n">
        <x:v>480</x:v>
      </x:c>
      <x:c r="G67" s="5" t="n">
        <x:v>195</x:v>
      </x:c>
      <x:c r="H67" s="5" t="n">
        <x:v>169</x:v>
      </x:c>
      <x:c r="I67" s="1"/>
      <x:c r="J67" s="1"/>
      <x:c r="K67" s="1"/>
      <x:c r="L67" s="1"/>
    </x:row>
    <x:row r="68" ht="22" customHeight="1">
      <x:c r="A68" s="12" t="n">
        <x:v>42187</x:v>
      </x:c>
      <x:c r="B68" s="5" t="n">
        <x:v>21407</x:v>
      </x:c>
      <x:c r="C68" s="5" t="n">
        <x:v>12460</x:v>
      </x:c>
      <x:c r="D68" s="5" t="n">
        <x:v>101</x:v>
      </x:c>
      <x:c r="E68" s="5" t="n">
        <x:v>20791</x:v>
      </x:c>
      <x:c r="F68" s="5" t="n">
        <x:v>461</x:v>
      </x:c>
      <x:c r="G68" s="5" t="n">
        <x:v>155</x:v>
      </x:c>
      <x:c r="H68" s="5" t="n">
        <x:v>135</x:v>
      </x:c>
      <x:c r="I68" s="1"/>
      <x:c r="J68" s="1"/>
      <x:c r="K68" s="1"/>
      <x:c r="L68" s="1"/>
    </x:row>
    <x:row r="69" ht="22" customHeight="1">
      <x:c r="A69" s="12" t="n">
        <x:v>42188</x:v>
      </x:c>
      <x:c r="B69" s="5" t="n">
        <x:v>20774</x:v>
      </x:c>
      <x:c r="C69" s="5" t="n">
        <x:v>11860</x:v>
      </x:c>
      <x:c r="D69" s="5" t="n">
        <x:v>95</x:v>
      </x:c>
      <x:c r="E69" s="5" t="n">
        <x:v>20129</x:v>
      </x:c>
      <x:c r="F69" s="5" t="n">
        <x:v>490</x:v>
      </x:c>
      <x:c r="G69" s="5" t="n">
        <x:v>155</x:v>
      </x:c>
      <x:c r="H69" s="5" t="n">
        <x:v>122</x:v>
      </x:c>
      <x:c r="I69" s="1"/>
      <x:c r="J69" s="1"/>
      <x:c r="K69" s="1"/>
      <x:c r="L69" s="1"/>
    </x:row>
    <x:row r="70" ht="22" customHeight="1">
      <x:c r="A70" s="12" t="n">
        <x:v>42189</x:v>
      </x:c>
      <x:c r="B70" s="5" t="n">
        <x:v>16091</x:v>
      </x:c>
      <x:c r="C70" s="5" t="n">
        <x:v>9310</x:v>
      </x:c>
      <x:c r="D70" s="5" t="n">
        <x:v>60</x:v>
      </x:c>
      <x:c r="E70" s="5" t="n">
        <x:v>15608</x:v>
      </x:c>
      <x:c r="F70" s="5" t="n">
        <x:v>364</x:v>
      </x:c>
      <x:c r="G70" s="5" t="n">
        <x:v>119</x:v>
      </x:c>
      <x:c r="H70" s="5" t="n">
        <x:v>81</x:v>
      </x:c>
      <x:c r="I70" s="1"/>
      <x:c r="J70" s="1"/>
      <x:c r="K70" s="1"/>
      <x:c r="L70" s="1"/>
    </x:row>
    <x:row r="71" ht="22" customHeight="1">
      <x:c r="A71" s="12" t="n">
        <x:v>42190</x:v>
      </x:c>
      <x:c r="B71" s="5" t="n">
        <x:v>15749</x:v>
      </x:c>
      <x:c r="C71" s="5" t="n">
        <x:v>9193</x:v>
      </x:c>
      <x:c r="D71" s="5" t="n">
        <x:v>57</x:v>
      </x:c>
      <x:c r="E71" s="5" t="n">
        <x:v>15173</x:v>
      </x:c>
      <x:c r="F71" s="5" t="n">
        <x:v>476</x:v>
      </x:c>
      <x:c r="G71" s="5" t="n">
        <x:v>100</x:v>
      </x:c>
      <x:c r="H71" s="5" t="n">
        <x:v>79</x:v>
      </x:c>
      <x:c r="I71" s="1"/>
      <x:c r="J71" s="1"/>
      <x:c r="K71" s="1"/>
      <x:c r="L71" s="1"/>
    </x:row>
    <x:row r="72" ht="22" customHeight="1">
      <x:c r="A72" s="12" t="n">
        <x:v>42191</x:v>
      </x:c>
      <x:c r="B72" s="5" t="n">
        <x:v>22354</x:v>
      </x:c>
      <x:c r="C72" s="5" t="n">
        <x:v>12779</x:v>
      </x:c>
      <x:c r="D72" s="5" t="n">
        <x:v>129</x:v>
      </x:c>
      <x:c r="E72" s="5" t="n">
        <x:v>21583</x:v>
      </x:c>
      <x:c r="F72" s="5" t="n">
        <x:v>552</x:v>
      </x:c>
      <x:c r="G72" s="5" t="n">
        <x:v>219</x:v>
      </x:c>
      <x:c r="H72" s="5" t="n">
        <x:v>170</x:v>
      </x:c>
      <x:c r="I72" s="1"/>
      <x:c r="J72" s="1"/>
      <x:c r="K72" s="1"/>
      <x:c r="L72" s="1"/>
    </x:row>
    <x:row r="73" ht="22" customHeight="1">
      <x:c r="A73" s="12" t="n">
        <x:v>42192</x:v>
      </x:c>
      <x:c r="B73" s="5" t="n">
        <x:v>24380</x:v>
      </x:c>
      <x:c r="C73" s="5" t="n">
        <x:v>13732</x:v>
      </x:c>
      <x:c r="D73" s="5" t="n">
        <x:v>136</x:v>
      </x:c>
      <x:c r="E73" s="5" t="n">
        <x:v>23466</x:v>
      </x:c>
      <x:c r="F73" s="5" t="n">
        <x:v>667</x:v>
      </x:c>
      <x:c r="G73" s="5" t="n">
        <x:v>247</x:v>
      </x:c>
      <x:c r="H73" s="5" t="n">
        <x:v>178</x:v>
      </x:c>
      <x:c r="I73" s="1"/>
      <x:c r="J73" s="1"/>
      <x:c r="K73" s="1"/>
      <x:c r="L73" s="1"/>
    </x:row>
    <x:row r="74" ht="22" customHeight="1">
      <x:c r="A74" s="12" t="n">
        <x:v>42193</x:v>
      </x:c>
      <x:c r="B74" s="5" t="n">
        <x:v>25032</x:v>
      </x:c>
      <x:c r="C74" s="5" t="n">
        <x:v>14162</x:v>
      </x:c>
      <x:c r="D74" s="5" t="n">
        <x:v>136</x:v>
      </x:c>
      <x:c r="E74" s="5" t="n">
        <x:v>24084</x:v>
      </x:c>
      <x:c r="F74" s="5" t="n">
        <x:v>689</x:v>
      </x:c>
      <x:c r="G74" s="5" t="n">
        <x:v>259</x:v>
      </x:c>
      <x:c r="H74" s="5" t="n">
        <x:v>188</x:v>
      </x:c>
      <x:c r="I74" s="1"/>
      <x:c r="J74" s="1"/>
      <x:c r="K74" s="1"/>
      <x:c r="L74" s="1"/>
    </x:row>
    <x:row r="75" ht="22" customHeight="1">
      <x:c r="A75" s="12" t="n">
        <x:v>42194</x:v>
      </x:c>
      <x:c r="B75" s="5" t="n">
        <x:v>24996</x:v>
      </x:c>
      <x:c r="C75" s="5" t="n">
        <x:v>14063</x:v>
      </x:c>
      <x:c r="D75" s="5" t="n">
        <x:v>124</x:v>
      </x:c>
      <x:c r="E75" s="5" t="n">
        <x:v>24111</x:v>
      </x:c>
      <x:c r="F75" s="5" t="n">
        <x:v>678</x:v>
      </x:c>
      <x:c r="G75" s="5" t="n">
        <x:v>207</x:v>
      </x:c>
      <x:c r="H75" s="5" t="n">
        <x:v>170</x:v>
      </x:c>
      <x:c r="I75" s="1"/>
      <x:c r="J75" s="1"/>
      <x:c r="K75" s="1"/>
      <x:c r="L75" s="1"/>
    </x:row>
    <x:row r="76" ht="22" customHeight="1">
      <x:c r="A76" s="12" t="n">
        <x:v>42195</x:v>
      </x:c>
      <x:c r="B76" s="5" t="n">
        <x:v>23146</x:v>
      </x:c>
      <x:c r="C76" s="5" t="n">
        <x:v>14140</x:v>
      </x:c>
      <x:c r="D76" s="5" t="n">
        <x:v>102</x:v>
      </x:c>
      <x:c r="E76" s="5" t="n">
        <x:v>22325</x:v>
      </x:c>
      <x:c r="F76" s="5" t="n">
        <x:v>640</x:v>
      </x:c>
      <x:c r="G76" s="5" t="n">
        <x:v>181</x:v>
      </x:c>
      <x:c r="H76" s="5" t="n">
        <x:v>135</x:v>
      </x:c>
      <x:c r="I76" s="1"/>
      <x:c r="J76" s="1"/>
      <x:c r="K76" s="1"/>
      <x:c r="L76" s="1"/>
    </x:row>
    <x:row r="77" ht="22" customHeight="1">
      <x:c r="A77" s="12" t="n">
        <x:v>42196</x:v>
      </x:c>
      <x:c r="B77" s="5" t="n">
        <x:v>20791</x:v>
      </x:c>
      <x:c r="C77" s="5" t="n">
        <x:v>14596</x:v>
      </x:c>
      <x:c r="D77" s="5" t="n">
        <x:v>58</x:v>
      </x:c>
      <x:c r="E77" s="5" t="n">
        <x:v>20317</x:v>
      </x:c>
      <x:c r="F77" s="5" t="n">
        <x:v>376</x:v>
      </x:c>
      <x:c r="G77" s="5" t="n">
        <x:v>98</x:v>
      </x:c>
      <x:c r="H77" s="5" t="n">
        <x:v>74</x:v>
      </x:c>
      <x:c r="I77" s="1"/>
      <x:c r="J77" s="1"/>
      <x:c r="K77" s="1"/>
      <x:c r="L77" s="1"/>
    </x:row>
    <x:row r="78" ht="22" customHeight="1">
      <x:c r="A78" s="12" t="n">
        <x:v>42197</x:v>
      </x:c>
      <x:c r="B78" s="5" t="n">
        <x:v>21126</x:v>
      </x:c>
      <x:c r="C78" s="5" t="n">
        <x:v>14699</x:v>
      </x:c>
      <x:c r="D78" s="5" t="n">
        <x:v>59</x:v>
      </x:c>
      <x:c r="E78" s="5" t="n">
        <x:v>20701</x:v>
      </x:c>
      <x:c r="F78" s="5" t="n">
        <x:v>334</x:v>
      </x:c>
      <x:c r="G78" s="5" t="n">
        <x:v>91</x:v>
      </x:c>
      <x:c r="H78" s="5" t="n">
        <x:v>77</x:v>
      </x:c>
      <x:c r="I78" s="1"/>
      <x:c r="J78" s="1"/>
      <x:c r="K78" s="1"/>
      <x:c r="L78" s="1"/>
    </x:row>
    <x:row r="79" ht="22" customHeight="1">
      <x:c r="A79" s="12" t="n">
        <x:v>42198</x:v>
      </x:c>
      <x:c r="B79" s="5" t="n">
        <x:v>26114</x:v>
      </x:c>
      <x:c r="C79" s="5" t="n">
        <x:v>16515</x:v>
      </x:c>
      <x:c r="D79" s="5" t="n">
        <x:v>134</x:v>
      </x:c>
      <x:c r="E79" s="5" t="n">
        <x:v>25234</x:v>
      </x:c>
      <x:c r="F79" s="5" t="n">
        <x:v>664</x:v>
      </x:c>
      <x:c r="G79" s="5" t="n">
        <x:v>216</x:v>
      </x:c>
      <x:c r="H79" s="5" t="n">
        <x:v>173</x:v>
      </x:c>
      <x:c r="I79" s="1"/>
      <x:c r="J79" s="1"/>
      <x:c r="K79" s="1"/>
      <x:c r="L79" s="1"/>
    </x:row>
    <x:row r="80" ht="22" customHeight="1">
      <x:c r="A80" s="12" t="n">
        <x:v>42199</x:v>
      </x:c>
      <x:c r="B80" s="5" t="n">
        <x:v>26868</x:v>
      </x:c>
      <x:c r="C80" s="5" t="n">
        <x:v>16306</x:v>
      </x:c>
      <x:c r="D80" s="5" t="n">
        <x:v>120</x:v>
      </x:c>
      <x:c r="E80" s="5" t="n">
        <x:v>26007</x:v>
      </x:c>
      <x:c r="F80" s="5" t="n">
        <x:v>630</x:v>
      </x:c>
      <x:c r="G80" s="5" t="n">
        <x:v>231</x:v>
      </x:c>
      <x:c r="H80" s="5" t="n">
        <x:v>163</x:v>
      </x:c>
      <x:c r="I80" s="1"/>
      <x:c r="J80" s="1"/>
      <x:c r="K80" s="1"/>
      <x:c r="L80" s="1"/>
    </x:row>
    <x:row r="81" ht="22" customHeight="1">
      <x:c r="A81" s="12" t="n">
        <x:v>42200</x:v>
      </x:c>
      <x:c r="B81" s="5" t="n">
        <x:v>24137</x:v>
      </x:c>
      <x:c r="C81" s="5" t="n">
        <x:v>14932</x:v>
      </x:c>
      <x:c r="D81" s="5" t="n">
        <x:v>110</x:v>
      </x:c>
      <x:c r="E81" s="5" t="n">
        <x:v>23361</x:v>
      </x:c>
      <x:c r="F81" s="5" t="n">
        <x:v>560</x:v>
      </x:c>
      <x:c r="G81" s="5" t="n">
        <x:v>216</x:v>
      </x:c>
      <x:c r="H81" s="5" t="n">
        <x:v>157</x:v>
      </x:c>
      <x:c r="I81" s="1"/>
      <x:c r="J81" s="1"/>
      <x:c r="K81" s="1"/>
      <x:c r="L81" s="1"/>
    </x:row>
    <x:row r="82" ht="22" customHeight="1">
      <x:c r="A82" s="12" t="n">
        <x:v>42201</x:v>
      </x:c>
      <x:c r="B82" s="5" t="n">
        <x:v>21620</x:v>
      </x:c>
      <x:c r="C82" s="5" t="n">
        <x:v>13005</x:v>
      </x:c>
      <x:c r="D82" s="5" t="n">
        <x:v>113</x:v>
      </x:c>
      <x:c r="E82" s="5" t="n">
        <x:v>20776</x:v>
      </x:c>
      <x:c r="F82" s="5" t="n">
        <x:v>605</x:v>
      </x:c>
      <x:c r="G82" s="5" t="n">
        <x:v>239</x:v>
      </x:c>
      <x:c r="H82" s="5" t="n">
        <x:v>158</x:v>
      </x:c>
      <x:c r="I82" s="1"/>
      <x:c r="J82" s="1"/>
      <x:c r="K82" s="1"/>
      <x:c r="L82" s="1"/>
    </x:row>
    <x:row r="83" ht="22" customHeight="1">
      <x:c r="A83" s="12" t="n">
        <x:v>42202</x:v>
      </x:c>
      <x:c r="B83" s="5" t="n">
        <x:v>20183</x:v>
      </x:c>
      <x:c r="C83" s="5" t="n">
        <x:v>12840</x:v>
      </x:c>
      <x:c r="D83" s="5" t="n">
        <x:v>75</x:v>
      </x:c>
      <x:c r="E83" s="5" t="n">
        <x:v>19597</x:v>
      </x:c>
      <x:c r="F83" s="5" t="n">
        <x:v>447</x:v>
      </x:c>
      <x:c r="G83" s="5" t="n">
        <x:v>139</x:v>
      </x:c>
      <x:c r="H83" s="5" t="n">
        <x:v>101</x:v>
      </x:c>
      <x:c r="I83" s="1"/>
      <x:c r="J83" s="1"/>
      <x:c r="K83" s="1"/>
      <x:c r="L83" s="1"/>
    </x:row>
    <x:row r="84" ht="22" customHeight="1">
      <x:c r="A84" s="12" t="n">
        <x:v>42203</x:v>
      </x:c>
      <x:c r="B84" s="5" t="n">
        <x:v>16489</x:v>
      </x:c>
      <x:c r="C84" s="5" t="n">
        <x:v>10102</x:v>
      </x:c>
      <x:c r="D84" s="5" t="n">
        <x:v>59</x:v>
      </x:c>
      <x:c r="E84" s="5" t="n">
        <x:v>15988</x:v>
      </x:c>
      <x:c r="F84" s="5" t="n">
        <x:v>399</x:v>
      </x:c>
      <x:c r="G84" s="5" t="n">
        <x:v>102</x:v>
      </x:c>
      <x:c r="H84" s="5" t="n">
        <x:v>84</x:v>
      </x:c>
      <x:c r="I84" s="1"/>
      <x:c r="J84" s="1"/>
      <x:c r="K84" s="1"/>
      <x:c r="L84" s="1"/>
    </x:row>
    <x:row r="85" ht="22" customHeight="1">
      <x:c r="A85" s="12" t="n">
        <x:v>42204</x:v>
      </x:c>
      <x:c r="B85" s="5" t="n">
        <x:v>16803</x:v>
      </x:c>
      <x:c r="C85" s="5" t="n">
        <x:v>10473</x:v>
      </x:c>
      <x:c r="D85" s="5" t="n">
        <x:v>73</x:v>
      </x:c>
      <x:c r="E85" s="5" t="n">
        <x:v>16315</x:v>
      </x:c>
      <x:c r="F85" s="5" t="n">
        <x:v>372</x:v>
      </x:c>
      <x:c r="G85" s="5" t="n">
        <x:v>116</x:v>
      </x:c>
      <x:c r="H85" s="5" t="n">
        <x:v>95</x:v>
      </x:c>
      <x:c r="I85" s="1"/>
      <x:c r="J85" s="1"/>
      <x:c r="K85" s="1"/>
      <x:c r="L85" s="1"/>
    </x:row>
    <x:row r="86" ht="22" customHeight="1">
      <x:c r="A86" s="12" t="n">
        <x:v>42205</x:v>
      </x:c>
      <x:c r="B86" s="5" t="n">
        <x:v>25329</x:v>
      </x:c>
      <x:c r="C86" s="5" t="n">
        <x:v>15288</x:v>
      </x:c>
      <x:c r="D86" s="5" t="n">
        <x:v>138</x:v>
      </x:c>
      <x:c r="E86" s="5" t="n">
        <x:v>24373</x:v>
      </x:c>
      <x:c r="F86" s="5" t="n">
        <x:v>724</x:v>
      </x:c>
      <x:c r="G86" s="5" t="n">
        <x:v>232</x:v>
      </x:c>
      <x:c r="H86" s="5" t="n">
        <x:v>183</x:v>
      </x:c>
      <x:c r="I86" s="1"/>
      <x:c r="J86" s="1"/>
      <x:c r="K86" s="1"/>
      <x:c r="L86" s="1"/>
    </x:row>
    <x:row r="87" ht="22" customHeight="1">
      <x:c r="A87" s="12" t="n">
        <x:v>42206</x:v>
      </x:c>
      <x:c r="B87" s="5" t="n">
        <x:v>23607</x:v>
      </x:c>
      <x:c r="C87" s="5" t="n">
        <x:v>14212</x:v>
      </x:c>
      <x:c r="D87" s="5" t="n">
        <x:v>130</x:v>
      </x:c>
      <x:c r="E87" s="5" t="n">
        <x:v>22713</x:v>
      </x:c>
      <x:c r="F87" s="5" t="n">
        <x:v>667</x:v>
      </x:c>
      <x:c r="G87" s="5" t="n">
        <x:v>227</x:v>
      </x:c>
      <x:c r="H87" s="5" t="n">
        <x:v>187</x:v>
      </x:c>
      <x:c r="I87" s="1"/>
      <x:c r="J87" s="1"/>
      <x:c r="K87" s="1"/>
      <x:c r="L87" s="1"/>
    </x:row>
    <x:row r="88" ht="22" customHeight="1">
      <x:c r="A88" s="12" t="n">
        <x:v>42207</x:v>
      </x:c>
      <x:c r="B88" s="5" t="n">
        <x:v>22325</x:v>
      </x:c>
      <x:c r="C88" s="5" t="n">
        <x:v>13303</x:v>
      </x:c>
      <x:c r="D88" s="5" t="n">
        <x:v>139</x:v>
      </x:c>
      <x:c r="E88" s="5" t="n">
        <x:v>21288</x:v>
      </x:c>
      <x:c r="F88" s="5" t="n">
        <x:v>770</x:v>
      </x:c>
      <x:c r="G88" s="5" t="n">
        <x:v>267</x:v>
      </x:c>
      <x:c r="H88" s="5" t="n">
        <x:v>205</x:v>
      </x:c>
      <x:c r="I88" s="1"/>
      <x:c r="J88" s="1"/>
      <x:c r="K88" s="1"/>
      <x:c r="L88" s="1"/>
    </x:row>
    <x:row r="89" ht="22" customHeight="1">
      <x:c r="A89" s="12" t="n">
        <x:v>42208</x:v>
      </x:c>
      <x:c r="B89" s="5" t="n">
        <x:v>21589</x:v>
      </x:c>
      <x:c r="C89" s="5" t="n">
        <x:v>13001</x:v>
      </x:c>
      <x:c r="D89" s="5" t="n">
        <x:v>115</x:v>
      </x:c>
      <x:c r="E89" s="5" t="n">
        <x:v>20709</x:v>
      </x:c>
      <x:c r="F89" s="5" t="n">
        <x:v>646</x:v>
      </x:c>
      <x:c r="G89" s="5" t="n">
        <x:v>234</x:v>
      </x:c>
      <x:c r="H89" s="5" t="n">
        <x:v>164</x:v>
      </x:c>
      <x:c r="I89" s="1"/>
      <x:c r="J89" s="1"/>
      <x:c r="K89" s="1"/>
      <x:c r="L89" s="1"/>
    </x:row>
    <x:row r="90" ht="22" customHeight="1">
      <x:c r="A90" s="12" t="n">
        <x:v>42209</x:v>
      </x:c>
      <x:c r="B90" s="5" t="n">
        <x:v>22746</x:v>
      </x:c>
      <x:c r="C90" s="5" t="n">
        <x:v>14541</x:v>
      </x:c>
      <x:c r="D90" s="5" t="n">
        <x:v>71</x:v>
      </x:c>
      <x:c r="E90" s="5" t="n">
        <x:v>22071</x:v>
      </x:c>
      <x:c r="F90" s="5" t="n">
        <x:v>538</x:v>
      </x:c>
      <x:c r="G90" s="5" t="n">
        <x:v>137</x:v>
      </x:c>
      <x:c r="H90" s="5" t="n">
        <x:v>109</x:v>
      </x:c>
      <x:c r="I90" s="1"/>
      <x:c r="J90" s="1"/>
      <x:c r="K90" s="1"/>
      <x:c r="L90" s="1"/>
    </x:row>
    <x:row r="91" ht="22" customHeight="1">
      <x:c r="A91" s="12" t="n">
        <x:v>42210</x:v>
      </x:c>
      <x:c r="B91" s="5" t="n">
        <x:v>27104</x:v>
      </x:c>
      <x:c r="C91" s="5" t="n">
        <x:v>15571</x:v>
      </x:c>
      <x:c r="D91" s="5" t="n">
        <x:v>60</x:v>
      </x:c>
      <x:c r="E91" s="5" t="n">
        <x:v>26551</x:v>
      </x:c>
      <x:c r="F91" s="5" t="n">
        <x:v>437</x:v>
      </x:c>
      <x:c r="G91" s="5" t="n">
        <x:v>116</x:v>
      </x:c>
      <x:c r="H91" s="5" t="n">
        <x:v>84</x:v>
      </x:c>
      <x:c r="I91" s="1"/>
      <x:c r="J91" s="1"/>
      <x:c r="K91" s="1"/>
      <x:c r="L91" s="1"/>
    </x:row>
    <x:row r="92" ht="22" customHeight="1">
      <x:c r="A92" s="12" t="n">
        <x:v>42211</x:v>
      </x:c>
      <x:c r="B92" s="5" t="n">
        <x:v>32692</x:v>
      </x:c>
      <x:c r="C92" s="5" t="n">
        <x:v>17516</x:v>
      </x:c>
      <x:c r="D92" s="5" t="n">
        <x:v>76</x:v>
      </x:c>
      <x:c r="E92" s="5" t="n">
        <x:v>32077</x:v>
      </x:c>
      <x:c r="F92" s="5" t="n">
        <x:v>471</x:v>
      </x:c>
      <x:c r="G92" s="5" t="n">
        <x:v>144</x:v>
      </x:c>
      <x:c r="H92" s="5" t="n">
        <x:v>101</x:v>
      </x:c>
      <x:c r="I92" s="1"/>
      <x:c r="J92" s="1"/>
      <x:c r="K92" s="1"/>
      <x:c r="L92" s="1"/>
    </x:row>
    <x:row r="93" ht="22" customHeight="1">
      <x:c r="A93" s="12" t="n">
        <x:v>42212</x:v>
      </x:c>
      <x:c r="B93" s="5" t="n">
        <x:v>28555</x:v>
      </x:c>
      <x:c r="C93" s="5" t="n">
        <x:v>16015</x:v>
      </x:c>
      <x:c r="D93" s="5" t="n">
        <x:v>141</x:v>
      </x:c>
      <x:c r="E93" s="5" t="n">
        <x:v>27622</x:v>
      </x:c>
      <x:c r="F93" s="5" t="n">
        <x:v>666</x:v>
      </x:c>
      <x:c r="G93" s="5" t="n">
        <x:v>267</x:v>
      </x:c>
      <x:c r="H93" s="5" t="n">
        <x:v>201</x:v>
      </x:c>
      <x:c r="I93" s="1"/>
      <x:c r="J93" s="1"/>
      <x:c r="K93" s="1"/>
      <x:c r="L93" s="1"/>
    </x:row>
    <x:row r="94" ht="22" customHeight="1">
      <x:c r="A94" s="12" t="n">
        <x:v>42213</x:v>
      </x:c>
      <x:c r="B94" s="5" t="n">
        <x:v>21975</x:v>
      </x:c>
      <x:c r="C94" s="5" t="n">
        <x:v>13189</x:v>
      </x:c>
      <x:c r="D94" s="5" t="n">
        <x:v>158</x:v>
      </x:c>
      <x:c r="E94" s="5" t="n">
        <x:v>20986</x:v>
      </x:c>
      <x:c r="F94" s="5" t="n">
        <x:v>716</x:v>
      </x:c>
      <x:c r="G94" s="5" t="n">
        <x:v>273</x:v>
      </x:c>
      <x:c r="H94" s="5" t="n">
        <x:v>212</x:v>
      </x:c>
      <x:c r="I94" s="1"/>
      <x:c r="J94" s="1"/>
      <x:c r="K94" s="1"/>
      <x:c r="L94" s="1"/>
    </x:row>
    <x:row r="95" ht="22" customHeight="1">
      <x:c r="A95" s="12" t="n">
        <x:v>42214</x:v>
      </x:c>
      <x:c r="B95" s="5" t="n">
        <x:v>23197</x:v>
      </x:c>
      <x:c r="C95" s="5" t="n">
        <x:v>14113</x:v>
      </x:c>
      <x:c r="D95" s="5" t="n">
        <x:v>137</x:v>
      </x:c>
      <x:c r="E95" s="5" t="n">
        <x:v>22329</x:v>
      </x:c>
      <x:c r="F95" s="5" t="n">
        <x:v>628</x:v>
      </x:c>
      <x:c r="G95" s="5" t="n">
        <x:v>240</x:v>
      </x:c>
      <x:c r="H95" s="5" t="n">
        <x:v>194</x:v>
      </x:c>
      <x:c r="I95" s="1"/>
      <x:c r="J95" s="1"/>
      <x:c r="K95" s="1"/>
      <x:c r="L95" s="1"/>
    </x:row>
    <x:row r="96" ht="22" customHeight="1">
      <x:c r="A96" s="12" t="n">
        <x:v>42215</x:v>
      </x:c>
      <x:c r="B96" s="5" t="n">
        <x:v>20971</x:v>
      </x:c>
      <x:c r="C96" s="5" t="n">
        <x:v>12737</x:v>
      </x:c>
      <x:c r="D96" s="5" t="n">
        <x:v>117</x:v>
      </x:c>
      <x:c r="E96" s="5" t="n">
        <x:v>20192</x:v>
      </x:c>
      <x:c r="F96" s="5" t="n">
        <x:v>565</x:v>
      </x:c>
      <x:c r="G96" s="5" t="n">
        <x:v>214</x:v>
      </x:c>
      <x:c r="H96" s="5" t="n">
        <x:v>156</x:v>
      </x:c>
      <x:c r="I96" s="1"/>
      <x:c r="J96" s="1"/>
      <x:c r="K96" s="1"/>
      <x:c r="L96" s="1"/>
    </x:row>
    <x:row r="97" ht="22" customHeight="1">
      <x:c r="A97" s="12" t="n">
        <x:v>42216</x:v>
      </x:c>
      <x:c r="B97" s="5" t="n">
        <x:v>18935</x:v>
      </x:c>
      <x:c r="C97" s="5" t="n">
        <x:v>11771</x:v>
      </x:c>
      <x:c r="D97" s="5" t="n">
        <x:v>93</x:v>
      </x:c>
      <x:c r="E97" s="5" t="n">
        <x:v>18231</x:v>
      </x:c>
      <x:c r="F97" s="5" t="n">
        <x:v>538</x:v>
      </x:c>
      <x:c r="G97" s="5" t="n">
        <x:v>166</x:v>
      </x:c>
      <x:c r="H97" s="5" t="n">
        <x:v>136</x:v>
      </x:c>
      <x:c r="I97" s="1"/>
      <x:c r="J97" s="1"/>
      <x:c r="K97" s="1"/>
      <x:c r="L97" s="1"/>
    </x:row>
    <x:row r="98" ht="22" customHeight="1">
      <x:c r="A98" s="12" t="n">
        <x:v>42217</x:v>
      </x:c>
      <x:c r="B98" s="5" t="n">
        <x:v>15454</x:v>
      </x:c>
      <x:c r="C98" s="5" t="n">
        <x:v>9947</x:v>
      </x:c>
      <x:c r="D98" s="5" t="n">
        <x:v>51</x:v>
      </x:c>
      <x:c r="E98" s="5" t="n">
        <x:v>14996</x:v>
      </x:c>
      <x:c r="F98" s="5" t="n">
        <x:v>379</x:v>
      </x:c>
      <x:c r="G98" s="5" t="n">
        <x:v>79</x:v>
      </x:c>
      <x:c r="H98" s="5" t="n">
        <x:v>67</x:v>
      </x:c>
      <x:c r="I98" s="1"/>
      <x:c r="J98" s="1"/>
      <x:c r="K98" s="1"/>
      <x:c r="L98" s="1"/>
    </x:row>
    <x:row r="99" ht="22" customHeight="1">
      <x:c r="A99" s="12" t="n">
        <x:v>42218</x:v>
      </x:c>
      <x:c r="B99" s="5" t="n">
        <x:v>15217</x:v>
      </x:c>
      <x:c r="C99" s="5" t="n">
        <x:v>9533</x:v>
      </x:c>
      <x:c r="D99" s="5" t="n">
        <x:v>68</x:v>
      </x:c>
      <x:c r="E99" s="5" t="n">
        <x:v>14752</x:v>
      </x:c>
      <x:c r="F99" s="5" t="n">
        <x:v>360</x:v>
      </x:c>
      <x:c r="G99" s="5" t="n">
        <x:v>105</x:v>
      </x:c>
      <x:c r="H99" s="5" t="n">
        <x:v>85</x:v>
      </x:c>
      <x:c r="I99" s="1"/>
      <x:c r="J99" s="1"/>
      <x:c r="K99" s="1"/>
      <x:c r="L99" s="1"/>
    </x:row>
    <x:row r="100" ht="22" customHeight="1">
      <x:c r="A100" s="12" t="n">
        <x:v>42219</x:v>
      </x:c>
      <x:c r="B100" s="5" t="n">
        <x:v>21264</x:v>
      </x:c>
      <x:c r="C100" s="5" t="n">
        <x:v>13066</x:v>
      </x:c>
      <x:c r="D100" s="5" t="n">
        <x:v>118</x:v>
      </x:c>
      <x:c r="E100" s="5" t="n">
        <x:v>20501</x:v>
      </x:c>
      <x:c r="F100" s="5" t="n">
        <x:v>565</x:v>
      </x:c>
      <x:c r="G100" s="5" t="n">
        <x:v>198</x:v>
      </x:c>
      <x:c r="H100" s="5" t="n">
        <x:v>154</x:v>
      </x:c>
      <x:c r="I100" s="1"/>
      <x:c r="J100" s="1"/>
      <x:c r="K100" s="1"/>
      <x:c r="L100" s="1"/>
    </x:row>
    <x:row r="101" ht="22" customHeight="1">
      <x:c r="A101" s="12" t="n">
        <x:v>42220</x:v>
      </x:c>
      <x:c r="B101" s="5" t="n">
        <x:v>21229</x:v>
      </x:c>
      <x:c r="C101" s="5" t="n">
        <x:v>12795</x:v>
      </x:c>
      <x:c r="D101" s="5" t="n">
        <x:v>130</x:v>
      </x:c>
      <x:c r="E101" s="5" t="n">
        <x:v>20436</x:v>
      </x:c>
      <x:c r="F101" s="5" t="n">
        <x:v>584</x:v>
      </x:c>
      <x:c r="G101" s="5" t="n">
        <x:v>209</x:v>
      </x:c>
      <x:c r="H101" s="5" t="n">
        <x:v>172</x:v>
      </x:c>
      <x:c r="I101" s="1"/>
      <x:c r="J101" s="1"/>
      <x:c r="K101" s="1"/>
      <x:c r="L101" s="1"/>
    </x:row>
    <x:row r="102" ht="22" customHeight="1">
      <x:c r="A102" s="12" t="n">
        <x:v>42221</x:v>
      </x:c>
      <x:c r="B102" s="5" t="n">
        <x:v>20403</x:v>
      </x:c>
      <x:c r="C102" s="5" t="n">
        <x:v>12675</x:v>
      </x:c>
      <x:c r="D102" s="5" t="n">
        <x:v>137</x:v>
      </x:c>
      <x:c r="E102" s="5" t="n">
        <x:v>19542</x:v>
      </x:c>
      <x:c r="F102" s="5" t="n">
        <x:v>624</x:v>
      </x:c>
      <x:c r="G102" s="5" t="n">
        <x:v>237</x:v>
      </x:c>
      <x:c r="H102" s="5" t="n">
        <x:v>186</x:v>
      </x:c>
      <x:c r="I102" s="1"/>
      <x:c r="J102" s="1"/>
      <x:c r="K102" s="1"/>
      <x:c r="L102" s="1"/>
    </x:row>
    <x:row r="103" ht="22" customHeight="1">
      <x:c r="A103" s="12" t="n">
        <x:v>42222</x:v>
      </x:c>
      <x:c r="B103" s="5" t="n">
        <x:v>20322</x:v>
      </x:c>
      <x:c r="C103" s="5" t="n">
        <x:v>12984</x:v>
      </x:c>
      <x:c r="D103" s="5" t="n">
        <x:v>84</x:v>
      </x:c>
      <x:c r="E103" s="5" t="n">
        <x:v>19668</x:v>
      </x:c>
      <x:c r="F103" s="5" t="n">
        <x:v>527</x:v>
      </x:c>
      <x:c r="G103" s="5" t="n">
        <x:v>127</x:v>
      </x:c>
      <x:c r="H103" s="5" t="n">
        <x:v>112</x:v>
      </x:c>
      <x:c r="I103" s="1"/>
      <x:c r="J103" s="1"/>
      <x:c r="K103" s="1"/>
      <x:c r="L103" s="1"/>
    </x:row>
    <x:row r="104" ht="22" customHeight="1">
      <x:c r="A104" s="12" t="n">
        <x:v>42223</x:v>
      </x:c>
      <x:c r="B104" s="5" t="n">
        <x:v>19345</x:v>
      </x:c>
      <x:c r="C104" s="5" t="n">
        <x:v>11851</x:v>
      </x:c>
      <x:c r="D104" s="5" t="n">
        <x:v>99</x:v>
      </x:c>
      <x:c r="E104" s="5" t="n">
        <x:v>18570</x:v>
      </x:c>
      <x:c r="F104" s="5" t="n">
        <x:v>600</x:v>
      </x:c>
      <x:c r="G104" s="5" t="n">
        <x:v>175</x:v>
      </x:c>
      <x:c r="H104" s="5" t="n">
        <x:v>136</x:v>
      </x:c>
      <x:c r="I104" s="1"/>
      <x:c r="J104" s="1"/>
      <x:c r="K104" s="1"/>
      <x:c r="L104" s="1"/>
    </x:row>
    <x:row r="105" ht="22" customHeight="1">
      <x:c r="A105" s="12" t="n">
        <x:v>42224</x:v>
      </x:c>
      <x:c r="B105" s="5" t="n">
        <x:v>12852</x:v>
      </x:c>
      <x:c r="C105" s="5" t="n">
        <x:v>8272</x:v>
      </x:c>
      <x:c r="D105" s="5" t="n">
        <x:v>36</x:v>
      </x:c>
      <x:c r="E105" s="5" t="n">
        <x:v>12459</x:v>
      </x:c>
      <x:c r="F105" s="5" t="n">
        <x:v>326</x:v>
      </x:c>
      <x:c r="G105" s="5" t="n">
        <x:v>67</x:v>
      </x:c>
      <x:c r="H105" s="5" t="n">
        <x:v>43</x:v>
      </x:c>
      <x:c r="I105" s="1"/>
      <x:c r="J105" s="1"/>
      <x:c r="K105" s="1"/>
      <x:c r="L105" s="1"/>
    </x:row>
    <x:row r="106" ht="22" customHeight="1">
      <x:c r="A106" s="12" t="n">
        <x:v>42225</x:v>
      </x:c>
      <x:c r="B106" s="5" t="n">
        <x:v>13114</x:v>
      </x:c>
      <x:c r="C106" s="5" t="n">
        <x:v>8588</x:v>
      </x:c>
      <x:c r="D106" s="5" t="n">
        <x:v>44</x:v>
      </x:c>
      <x:c r="E106" s="5" t="n">
        <x:v>12754</x:v>
      </x:c>
      <x:c r="F106" s="5" t="n">
        <x:v>300</x:v>
      </x:c>
      <x:c r="G106" s="5" t="n">
        <x:v>60</x:v>
      </x:c>
      <x:c r="H106" s="5" t="n">
        <x:v>50</x:v>
      </x:c>
      <x:c r="I106" s="1"/>
      <x:c r="J106" s="1"/>
      <x:c r="K106" s="1"/>
      <x:c r="L106" s="1"/>
    </x:row>
    <x:row r="107" ht="22" customHeight="1">
      <x:c r="A107" s="12" t="n">
        <x:v>42226</x:v>
      </x:c>
      <x:c r="B107" s="5" t="n">
        <x:v>18418</x:v>
      </x:c>
      <x:c r="C107" s="5" t="n">
        <x:v>11289</x:v>
      </x:c>
      <x:c r="D107" s="5" t="n">
        <x:v>68</x:v>
      </x:c>
      <x:c r="E107" s="5" t="n">
        <x:v>17770</x:v>
      </x:c>
      <x:c r="F107" s="5" t="n">
        <x:v>519</x:v>
      </x:c>
      <x:c r="G107" s="5" t="n">
        <x:v>129</x:v>
      </x:c>
      <x:c r="H107" s="5" t="n">
        <x:v>95</x:v>
      </x:c>
      <x:c r="I107" s="1"/>
      <x:c r="J107" s="1"/>
      <x:c r="K107" s="1"/>
      <x:c r="L107" s="1"/>
    </x:row>
    <x:row r="108" ht="22" customHeight="1">
      <x:c r="A108" s="12" t="n">
        <x:v>42227</x:v>
      </x:c>
      <x:c r="B108" s="5" t="n">
        <x:v>18200</x:v>
      </x:c>
      <x:c r="C108" s="5" t="n">
        <x:v>11664</x:v>
      </x:c>
      <x:c r="D108" s="5" t="n">
        <x:v>89</x:v>
      </x:c>
      <x:c r="E108" s="5" t="n">
        <x:v>17689</x:v>
      </x:c>
      <x:c r="F108" s="5" t="n">
        <x:v>382</x:v>
      </x:c>
      <x:c r="G108" s="5" t="n">
        <x:v>129</x:v>
      </x:c>
      <x:c r="H108" s="5" t="n">
        <x:v>111</x:v>
      </x:c>
      <x:c r="I108" s="1"/>
      <x:c r="J108" s="1"/>
      <x:c r="K108" s="1"/>
      <x:c r="L108" s="1"/>
    </x:row>
    <x:row r="109" ht="22" customHeight="1">
      <x:c r="A109" s="12" t="n">
        <x:v>42228</x:v>
      </x:c>
      <x:c r="B109" s="5" t="n">
        <x:v>20082</x:v>
      </x:c>
      <x:c r="C109" s="5" t="n">
        <x:v>12806</x:v>
      </x:c>
      <x:c r="D109" s="5" t="n">
        <x:v>93</x:v>
      </x:c>
      <x:c r="E109" s="5" t="n">
        <x:v>19331</x:v>
      </x:c>
      <x:c r="F109" s="5" t="n">
        <x:v>556</x:v>
      </x:c>
      <x:c r="G109" s="5" t="n">
        <x:v>195</x:v>
      </x:c>
      <x:c r="H109" s="5" t="n">
        <x:v>135</x:v>
      </x:c>
      <x:c r="I109" s="1"/>
      <x:c r="J109" s="1"/>
      <x:c r="K109" s="1"/>
      <x:c r="L109" s="1"/>
    </x:row>
    <x:row r="110" ht="22" customHeight="1">
      <x:c r="A110" s="12" t="n">
        <x:v>42229</x:v>
      </x:c>
      <x:c r="B110" s="5" t="n">
        <x:v>19152</x:v>
      </x:c>
      <x:c r="C110" s="5" t="n">
        <x:v>12229</x:v>
      </x:c>
      <x:c r="D110" s="5" t="n">
        <x:v>81</x:v>
      </x:c>
      <x:c r="E110" s="5" t="n">
        <x:v>18464</x:v>
      </x:c>
      <x:c r="F110" s="5" t="n">
        <x:v>511</x:v>
      </x:c>
      <x:c r="G110" s="5" t="n">
        <x:v>177</x:v>
      </x:c>
      <x:c r="H110" s="5" t="n">
        <x:v>122</x:v>
      </x:c>
      <x:c r="I110" s="1"/>
      <x:c r="J110" s="1"/>
      <x:c r="K110" s="1"/>
      <x:c r="L110" s="1"/>
    </x:row>
    <x:row r="111" ht="22" customHeight="1">
      <x:c r="A111" s="12" t="n">
        <x:v>42230</x:v>
      </x:c>
      <x:c r="B111" s="5" t="n">
        <x:v>16971</x:v>
      </x:c>
      <x:c r="C111" s="5" t="n">
        <x:v>10637</x:v>
      </x:c>
      <x:c r="D111" s="5" t="n">
        <x:v>87</x:v>
      </x:c>
      <x:c r="E111" s="5" t="n">
        <x:v>16442</x:v>
      </x:c>
      <x:c r="F111" s="5" t="n">
        <x:v>417</x:v>
      </x:c>
      <x:c r="G111" s="5" t="n">
        <x:v>112</x:v>
      </x:c>
      <x:c r="H111" s="5" t="n">
        <x:v>104</x:v>
      </x:c>
      <x:c r="I111" s="1"/>
      <x:c r="J111" s="1"/>
      <x:c r="K111" s="1"/>
      <x:c r="L111" s="1"/>
    </x:row>
    <x:row r="112" ht="22" customHeight="1">
      <x:c r="A112" s="12" t="n">
        <x:v>42231</x:v>
      </x:c>
      <x:c r="B112" s="5" t="n">
        <x:v>13420</x:v>
      </x:c>
      <x:c r="C112" s="5" t="n">
        <x:v>8493</x:v>
      </x:c>
      <x:c r="D112" s="5" t="n">
        <x:v>48</x:v>
      </x:c>
      <x:c r="E112" s="5" t="n">
        <x:v>12987</x:v>
      </x:c>
      <x:c r="F112" s="5" t="n">
        <x:v>341</x:v>
      </x:c>
      <x:c r="G112" s="5" t="n">
        <x:v>92</x:v>
      </x:c>
      <x:c r="H112" s="5" t="n">
        <x:v>68</x:v>
      </x:c>
      <x:c r="I112" s="1"/>
      <x:c r="J112" s="1"/>
      <x:c r="K112" s="1"/>
      <x:c r="L112" s="1"/>
    </x:row>
    <x:row r="113" ht="22" customHeight="1">
      <x:c r="A113" s="12" t="n">
        <x:v>42232</x:v>
      </x:c>
      <x:c r="B113" s="5" t="n">
        <x:v>14487</x:v>
      </x:c>
      <x:c r="C113" s="5" t="n">
        <x:v>9340</x:v>
      </x:c>
      <x:c r="D113" s="5" t="n">
        <x:v>56</x:v>
      </x:c>
      <x:c r="E113" s="5" t="n">
        <x:v>14033</x:v>
      </x:c>
      <x:c r="F113" s="5" t="n">
        <x:v>376</x:v>
      </x:c>
      <x:c r="G113" s="5" t="n">
        <x:v>78</x:v>
      </x:c>
      <x:c r="H113" s="5" t="n">
        <x:v>73</x:v>
      </x:c>
      <x:c r="I113" s="1"/>
      <x:c r="J113" s="1"/>
      <x:c r="K113" s="1"/>
      <x:c r="L113" s="1"/>
    </x:row>
    <x:row r="114" ht="22" customHeight="1">
      <x:c r="A114" s="12" t="n">
        <x:v>42233</x:v>
      </x:c>
      <x:c r="B114" s="5" t="n">
        <x:v>20848</x:v>
      </x:c>
      <x:c r="C114" s="5" t="n">
        <x:v>12741</x:v>
      </x:c>
      <x:c r="D114" s="5" t="n">
        <x:v>125</x:v>
      </x:c>
      <x:c r="E114" s="5" t="n">
        <x:v>20024</x:v>
      </x:c>
      <x:c r="F114" s="5" t="n">
        <x:v>615</x:v>
      </x:c>
      <x:c r="G114" s="5" t="n">
        <x:v>209</x:v>
      </x:c>
      <x:c r="H114" s="5" t="n">
        <x:v>172</x:v>
      </x:c>
      <x:c r="I114" s="1"/>
      <x:c r="J114" s="1"/>
      <x:c r="K114" s="1"/>
      <x:c r="L114" s="1"/>
    </x:row>
    <x:row r="115" ht="22" customHeight="1">
      <x:c r="A115" s="12" t="n">
        <x:v>42234</x:v>
      </x:c>
      <x:c r="B115" s="5" t="n">
        <x:v>20748</x:v>
      </x:c>
      <x:c r="C115" s="5" t="n">
        <x:v>12741</x:v>
      </x:c>
      <x:c r="D115" s="5" t="n">
        <x:v>115</x:v>
      </x:c>
      <x:c r="E115" s="5" t="n">
        <x:v>20019</x:v>
      </x:c>
      <x:c r="F115" s="5" t="n">
        <x:v>528</x:v>
      </x:c>
      <x:c r="G115" s="5" t="n">
        <x:v>201</x:v>
      </x:c>
      <x:c r="H115" s="5" t="n">
        <x:v>163</x:v>
      </x:c>
      <x:c r="I115" s="1"/>
      <x:c r="J115" s="1"/>
      <x:c r="K115" s="1"/>
      <x:c r="L115" s="1"/>
    </x:row>
    <x:row r="116" ht="22" customHeight="1">
      <x:c r="A116" s="12" t="n">
        <x:v>42235</x:v>
      </x:c>
      <x:c r="B116" s="5" t="n">
        <x:v>20079</x:v>
      </x:c>
      <x:c r="C116" s="5" t="n">
        <x:v>12348</x:v>
      </x:c>
      <x:c r="D116" s="5" t="n">
        <x:v>118</x:v>
      </x:c>
      <x:c r="E116" s="5" t="n">
        <x:v>19325</x:v>
      </x:c>
      <x:c r="F116" s="5" t="n">
        <x:v>535</x:v>
      </x:c>
      <x:c r="G116" s="5" t="n">
        <x:v>219</x:v>
      </x:c>
      <x:c r="H116" s="5" t="n">
        <x:v>167</x:v>
      </x:c>
      <x:c r="I116" s="1"/>
      <x:c r="J116" s="1"/>
      <x:c r="K116" s="1"/>
      <x:c r="L116" s="1"/>
    </x:row>
    <x:row r="117" ht="22" customHeight="1">
      <x:c r="A117" s="12" t="n">
        <x:v>42236</x:v>
      </x:c>
      <x:c r="B117" s="5" t="n">
        <x:v>19212</x:v>
      </x:c>
      <x:c r="C117" s="5" t="n">
        <x:v>11527</x:v>
      </x:c>
      <x:c r="D117" s="5" t="n">
        <x:v>114</x:v>
      </x:c>
      <x:c r="E117" s="5" t="n">
        <x:v>18487</x:v>
      </x:c>
      <x:c r="F117" s="5" t="n">
        <x:v>517</x:v>
      </x:c>
      <x:c r="G117" s="5" t="n">
        <x:v>208</x:v>
      </x:c>
      <x:c r="H117" s="5" t="n">
        <x:v>152</x:v>
      </x:c>
      <x:c r="I117" s="1"/>
      <x:c r="J117" s="1"/>
      <x:c r="K117" s="1"/>
      <x:c r="L117" s="1"/>
    </x:row>
    <x:row r="118" ht="22" customHeight="1">
      <x:c r="A118" s="12" t="n">
        <x:v>42237</x:v>
      </x:c>
      <x:c r="B118" s="5" t="n">
        <x:v>17744</x:v>
      </x:c>
      <x:c r="C118" s="5" t="n">
        <x:v>11071</x:v>
      </x:c>
      <x:c r="D118" s="5" t="n">
        <x:v>75</x:v>
      </x:c>
      <x:c r="E118" s="5" t="n">
        <x:v>17170</x:v>
      </x:c>
      <x:c r="F118" s="5" t="n">
        <x:v>442</x:v>
      </x:c>
      <x:c r="G118" s="5" t="n">
        <x:v>132</x:v>
      </x:c>
      <x:c r="H118" s="5" t="n">
        <x:v>112</x:v>
      </x:c>
      <x:c r="I118" s="1"/>
      <x:c r="J118" s="1"/>
      <x:c r="K118" s="1"/>
      <x:c r="L118" s="1"/>
    </x:row>
    <x:row r="119" ht="22" customHeight="1">
      <x:c r="A119" s="12" t="n">
        <x:v>42238</x:v>
      </x:c>
      <x:c r="B119" s="5" t="n">
        <x:v>14244</x:v>
      </x:c>
      <x:c r="C119" s="5" t="n">
        <x:v>8977</x:v>
      </x:c>
      <x:c r="D119" s="5" t="n">
        <x:v>63</x:v>
      </x:c>
      <x:c r="E119" s="5" t="n">
        <x:v>13816</x:v>
      </x:c>
      <x:c r="F119" s="5" t="n">
        <x:v>337</x:v>
      </x:c>
      <x:c r="G119" s="5" t="n">
        <x:v>91</x:v>
      </x:c>
      <x:c r="H119" s="5" t="n">
        <x:v>74</x:v>
      </x:c>
      <x:c r="I119" s="1"/>
      <x:c r="J119" s="1"/>
      <x:c r="K119" s="1"/>
      <x:c r="L119" s="1"/>
    </x:row>
    <x:row r="120" ht="22" customHeight="1">
      <x:c r="A120" s="12" t="n">
        <x:v>42239</x:v>
      </x:c>
      <x:c r="B120" s="5" t="n">
        <x:v>14014</x:v>
      </x:c>
      <x:c r="C120" s="5" t="n">
        <x:v>9091</x:v>
      </x:c>
      <x:c r="D120" s="5" t="n">
        <x:v>66</x:v>
      </x:c>
      <x:c r="E120" s="5" t="n">
        <x:v>13577</x:v>
      </x:c>
      <x:c r="F120" s="5" t="n">
        <x:v>343</x:v>
      </x:c>
      <x:c r="G120" s="5" t="n">
        <x:v>94</x:v>
      </x:c>
      <x:c r="H120" s="5" t="n">
        <x:v>78</x:v>
      </x:c>
      <x:c r="I120" s="1"/>
      <x:c r="J120" s="1"/>
      <x:c r="K120" s="1"/>
      <x:c r="L120" s="1"/>
    </x:row>
    <x:row r="121" ht="22" customHeight="1">
      <x:c r="A121" s="12" t="n">
        <x:v>42240</x:v>
      </x:c>
      <x:c r="B121" s="5" t="n">
        <x:v>18740</x:v>
      </x:c>
      <x:c r="C121" s="5" t="n">
        <x:v>11785</x:v>
      </x:c>
      <x:c r="D121" s="5" t="n">
        <x:v>109</x:v>
      </x:c>
      <x:c r="E121" s="5" t="n">
        <x:v>18033</x:v>
      </x:c>
      <x:c r="F121" s="5" t="n">
        <x:v>528</x:v>
      </x:c>
      <x:c r="G121" s="5" t="n">
        <x:v>179</x:v>
      </x:c>
      <x:c r="H121" s="5" t="n">
        <x:v>142</x:v>
      </x:c>
      <x:c r="I121" s="1"/>
      <x:c r="J121" s="1"/>
      <x:c r="K121" s="1"/>
      <x:c r="L121" s="1"/>
    </x:row>
    <x:row r="122" ht="22" customHeight="1">
      <x:c r="A122" s="12" t="n">
        <x:v>42241</x:v>
      </x:c>
      <x:c r="B122" s="5" t="n">
        <x:v>19679</x:v>
      </x:c>
      <x:c r="C122" s="5" t="n">
        <x:v>12068</x:v>
      </x:c>
      <x:c r="D122" s="5" t="n">
        <x:v>100</x:v>
      </x:c>
      <x:c r="E122" s="5" t="n">
        <x:v>19018</x:v>
      </x:c>
      <x:c r="F122" s="5" t="n">
        <x:v>496</x:v>
      </x:c>
      <x:c r="G122" s="5" t="n">
        <x:v>165</x:v>
      </x:c>
      <x:c r="H122" s="5" t="n">
        <x:v>134</x:v>
      </x:c>
      <x:c r="I122" s="1"/>
      <x:c r="J122" s="1"/>
      <x:c r="K122" s="1"/>
      <x:c r="L122" s="1"/>
    </x:row>
    <x:row r="123" ht="22" customHeight="1">
      <x:c r="A123" s="12" t="n">
        <x:v>42242</x:v>
      </x:c>
      <x:c r="B123" s="5" t="n">
        <x:v>18973</x:v>
      </x:c>
      <x:c r="C123" s="5" t="n">
        <x:v>11521</x:v>
      </x:c>
      <x:c r="D123" s="5" t="n">
        <x:v>111</x:v>
      </x:c>
      <x:c r="E123" s="5" t="n">
        <x:v>18203</x:v>
      </x:c>
      <x:c r="F123" s="5" t="n">
        <x:v>565</x:v>
      </x:c>
      <x:c r="G123" s="5" t="n">
        <x:v>205</x:v>
      </x:c>
      <x:c r="H123" s="5" t="n">
        <x:v>156</x:v>
      </x:c>
      <x:c r="I123" s="1"/>
      <x:c r="J123" s="1"/>
      <x:c r="K123" s="1"/>
      <x:c r="L123" s="1"/>
    </x:row>
    <x:row r="124" ht="22" customHeight="1">
      <x:c r="A124" s="12" t="n">
        <x:v>42243</x:v>
      </x:c>
      <x:c r="B124" s="5" t="n">
        <x:v>19561</x:v>
      </x:c>
      <x:c r="C124" s="5" t="n">
        <x:v>12145</x:v>
      </x:c>
      <x:c r="D124" s="5" t="n">
        <x:v>113</x:v>
      </x:c>
      <x:c r="E124" s="5" t="n">
        <x:v>18842</x:v>
      </x:c>
      <x:c r="F124" s="5" t="n">
        <x:v>509</x:v>
      </x:c>
      <x:c r="G124" s="5" t="n">
        <x:v>210</x:v>
      </x:c>
      <x:c r="H124" s="5" t="n">
        <x:v>168</x:v>
      </x:c>
      <x:c r="I124" s="1"/>
      <x:c r="J124" s="1"/>
      <x:c r="K124" s="1"/>
      <x:c r="L124" s="1"/>
    </x:row>
    <x:row r="125" ht="22" customHeight="1">
      <x:c r="A125" s="12" t="n">
        <x:v>42244</x:v>
      </x:c>
      <x:c r="B125" s="5" t="n">
        <x:v>19602</x:v>
      </x:c>
      <x:c r="C125" s="5" t="n">
        <x:v>12005</x:v>
      </x:c>
      <x:c r="D125" s="5" t="n">
        <x:v>88</x:v>
      </x:c>
      <x:c r="E125" s="5" t="n">
        <x:v>18886</x:v>
      </x:c>
      <x:c r="F125" s="5" t="n">
        <x:v>564</x:v>
      </x:c>
      <x:c r="G125" s="5" t="n">
        <x:v>152</x:v>
      </x:c>
      <x:c r="H125" s="5" t="n">
        <x:v>114</x:v>
      </x:c>
      <x:c r="I125" s="1"/>
      <x:c r="J125" s="1"/>
      <x:c r="K125" s="1"/>
      <x:c r="L125" s="1"/>
    </x:row>
    <x:row r="126" ht="22" customHeight="1">
      <x:c r="A126" s="12" t="n">
        <x:v>42245</x:v>
      </x:c>
      <x:c r="B126" s="5" t="n">
        <x:v>14962</x:v>
      </x:c>
      <x:c r="C126" s="5" t="n">
        <x:v>9347</x:v>
      </x:c>
      <x:c r="D126" s="5" t="n">
        <x:v>54</x:v>
      </x:c>
      <x:c r="E126" s="5" t="n">
        <x:v>14532</x:v>
      </x:c>
      <x:c r="F126" s="5" t="n">
        <x:v>353</x:v>
      </x:c>
      <x:c r="G126" s="5" t="n">
        <x:v>77</x:v>
      </x:c>
      <x:c r="H126" s="5" t="n">
        <x:v>64</x:v>
      </x:c>
      <x:c r="I126" s="1"/>
      <x:c r="J126" s="1"/>
      <x:c r="K126" s="1"/>
      <x:c r="L126" s="1"/>
    </x:row>
    <x:row r="127" ht="22" customHeight="1">
      <x:c r="A127" s="12" t="n">
        <x:v>42246</x:v>
      </x:c>
      <x:c r="B127" s="5" t="n">
        <x:v>16277</x:v>
      </x:c>
      <x:c r="C127" s="5" t="n">
        <x:v>9903</x:v>
      </x:c>
      <x:c r="D127" s="5" t="n">
        <x:v>101</x:v>
      </x:c>
      <x:c r="E127" s="5" t="n">
        <x:v>15557</x:v>
      </x:c>
      <x:c r="F127" s="5" t="n">
        <x:v>574</x:v>
      </x:c>
      <x:c r="G127" s="5" t="n">
        <x:v>146</x:v>
      </x:c>
      <x:c r="H127" s="5" t="n">
        <x:v>116</x:v>
      </x:c>
      <x:c r="I127" s="1"/>
      <x:c r="J127" s="1"/>
      <x:c r="K127" s="1"/>
      <x:c r="L127" s="1"/>
    </x:row>
    <x:row r="128" ht="22" customHeight="1">
      <x:c r="A128" s="12" t="n">
        <x:v>42247</x:v>
      </x:c>
      <x:c r="B128" s="5" t="n">
        <x:v>18624</x:v>
      </x:c>
      <x:c r="C128" s="5" t="n">
        <x:v>11788</x:v>
      </x:c>
      <x:c r="D128" s="5" t="n">
        <x:v>107</x:v>
      </x:c>
      <x:c r="E128" s="5" t="n">
        <x:v>17997</x:v>
      </x:c>
      <x:c r="F128" s="5" t="n">
        <x:v>452</x:v>
      </x:c>
      <x:c r="G128" s="5" t="n">
        <x:v>175</x:v>
      </x:c>
      <x:c r="H128" s="5" t="n">
        <x:v>135</x:v>
      </x:c>
      <x:c r="I128" s="1"/>
      <x:c r="J128" s="1"/>
      <x:c r="K128" s="1"/>
      <x:c r="L128" s="1"/>
    </x:row>
    <x:row r="129" ht="22" customHeight="1">
      <x:c r="A129" s="12" t="n">
        <x:v>42248</x:v>
      </x:c>
      <x:c r="B129" s="5" t="n">
        <x:v>18174</x:v>
      </x:c>
      <x:c r="C129" s="5" t="n">
        <x:v>11277</x:v>
      </x:c>
      <x:c r="D129" s="5" t="n">
        <x:v>82</x:v>
      </x:c>
      <x:c r="E129" s="5" t="n">
        <x:v>17573</x:v>
      </x:c>
      <x:c r="F129" s="5" t="n">
        <x:v>443</x:v>
      </x:c>
      <x:c r="G129" s="5" t="n">
        <x:v>158</x:v>
      </x:c>
      <x:c r="H129" s="5" t="n">
        <x:v>118</x:v>
      </x:c>
      <x:c r="I129" s="1"/>
      <x:c r="J129" s="1"/>
      <x:c r="K129" s="1"/>
      <x:c r="L129" s="1"/>
    </x:row>
    <x:row r="130" ht="22" customHeight="1">
      <x:c r="A130" s="12" t="n">
        <x:v>42249</x:v>
      </x:c>
      <x:c r="B130" s="5" t="n">
        <x:v>17535</x:v>
      </x:c>
      <x:c r="C130" s="5" t="n">
        <x:v>11017</x:v>
      </x:c>
      <x:c r="D130" s="5" t="n">
        <x:v>88</x:v>
      </x:c>
      <x:c r="E130" s="5" t="n">
        <x:v>16977</x:v>
      </x:c>
      <x:c r="F130" s="5" t="n">
        <x:v>417</x:v>
      </x:c>
      <x:c r="G130" s="5" t="n">
        <x:v>141</x:v>
      </x:c>
      <x:c r="H130" s="5" t="n">
        <x:v>111</x:v>
      </x:c>
      <x:c r="I130" s="1"/>
      <x:c r="J130" s="1"/>
      <x:c r="K130" s="1"/>
      <x:c r="L130" s="1"/>
    </x:row>
    <x:row r="131" ht="22" customHeight="1">
      <x:c r="A131" s="12" t="n">
        <x:v>42250</x:v>
      </x:c>
      <x:c r="B131" s="5" t="n">
        <x:v>18036</x:v>
      </x:c>
      <x:c r="C131" s="5" t="n">
        <x:v>11611</x:v>
      </x:c>
      <x:c r="D131" s="5" t="n">
        <x:v>82</x:v>
      </x:c>
      <x:c r="E131" s="5" t="n">
        <x:v>17453</x:v>
      </x:c>
      <x:c r="F131" s="5" t="n">
        <x:v>445</x:v>
      </x:c>
      <x:c r="G131" s="5" t="n">
        <x:v>138</x:v>
      </x:c>
      <x:c r="H131" s="5" t="n">
        <x:v>97</x:v>
      </x:c>
      <x:c r="I131" s="1"/>
      <x:c r="J131" s="1"/>
      <x:c r="K131" s="1"/>
      <x:c r="L131" s="1"/>
    </x:row>
    <x:row r="132" ht="22" customHeight="1">
      <x:c r="A132" s="12" t="n">
        <x:v>42251</x:v>
      </x:c>
      <x:c r="B132" s="5" t="n">
        <x:v>17729</x:v>
      </x:c>
      <x:c r="C132" s="5" t="n">
        <x:v>11045</x:v>
      </x:c>
      <x:c r="D132" s="5" t="n">
        <x:v>83</x:v>
      </x:c>
      <x:c r="E132" s="5" t="n">
        <x:v>17124</x:v>
      </x:c>
      <x:c r="F132" s="5" t="n">
        <x:v>452</x:v>
      </x:c>
      <x:c r="G132" s="5" t="n">
        <x:v>153</x:v>
      </x:c>
      <x:c r="H132" s="5" t="n">
        <x:v>113</x:v>
      </x:c>
      <x:c r="I132" s="1"/>
      <x:c r="J132" s="1"/>
      <x:c r="K132" s="1"/>
      <x:c r="L132" s="1"/>
    </x:row>
    <x:row r="133" ht="22" customHeight="1">
      <x:c r="A133" s="12" t="n">
        <x:v>42252</x:v>
      </x:c>
      <x:c r="B133" s="5" t="n">
        <x:v>14361</x:v>
      </x:c>
      <x:c r="C133" s="5" t="n">
        <x:v>9060</x:v>
      </x:c>
      <x:c r="D133" s="5" t="n">
        <x:v>56</x:v>
      </x:c>
      <x:c r="E133" s="5" t="n">
        <x:v>13973</x:v>
      </x:c>
      <x:c r="F133" s="5" t="n">
        <x:v>308</x:v>
      </x:c>
      <x:c r="G133" s="5" t="n">
        <x:v>80</x:v>
      </x:c>
      <x:c r="H133" s="5" t="n">
        <x:v>71</x:v>
      </x:c>
      <x:c r="I133" s="1"/>
      <x:c r="J133" s="1"/>
      <x:c r="K133" s="1"/>
      <x:c r="L133" s="1"/>
    </x:row>
    <x:row r="134" ht="22" customHeight="1">
      <x:c r="A134" s="12" t="n">
        <x:v>42253</x:v>
      </x:c>
      <x:c r="B134" s="5" t="n">
        <x:v>14572</x:v>
      </x:c>
      <x:c r="C134" s="5" t="n">
        <x:v>9318</x:v>
      </x:c>
      <x:c r="D134" s="5" t="n">
        <x:v>54</x:v>
      </x:c>
      <x:c r="E134" s="5" t="n">
        <x:v>14124</x:v>
      </x:c>
      <x:c r="F134" s="5" t="n">
        <x:v>369</x:v>
      </x:c>
      <x:c r="G134" s="5" t="n">
        <x:v>79</x:v>
      </x:c>
      <x:c r="H134" s="5" t="n">
        <x:v>62</x:v>
      </x:c>
      <x:c r="I134" s="1"/>
      <x:c r="J134" s="1"/>
      <x:c r="K134" s="1"/>
      <x:c r="L134" s="1"/>
    </x:row>
    <x:row r="135" ht="22" customHeight="1">
      <x:c r="A135" s="12" t="n">
        <x:v>42254</x:v>
      </x:c>
      <x:c r="B135" s="5" t="n">
        <x:v>19791</x:v>
      </x:c>
      <x:c r="C135" s="5" t="n">
        <x:v>12230</x:v>
      </x:c>
      <x:c r="D135" s="5" t="n">
        <x:v>115</x:v>
      </x:c>
      <x:c r="E135" s="5" t="n">
        <x:v>19030</x:v>
      </x:c>
      <x:c r="F135" s="5" t="n">
        <x:v>572</x:v>
      </x:c>
      <x:c r="G135" s="5" t="n">
        <x:v>189</x:v>
      </x:c>
      <x:c r="H135" s="5" t="n">
        <x:v>136</x:v>
      </x:c>
      <x:c r="I135" s="1"/>
      <x:c r="J135" s="1"/>
      <x:c r="K135" s="1"/>
      <x:c r="L135" s="1"/>
    </x:row>
    <x:row r="136" ht="22" customHeight="1">
      <x:c r="A136" s="12" t="n">
        <x:v>42255</x:v>
      </x:c>
      <x:c r="B136" s="5" t="n">
        <x:v>20811</x:v>
      </x:c>
      <x:c r="C136" s="5" t="n">
        <x:v>12915</x:v>
      </x:c>
      <x:c r="D136" s="5" t="n">
        <x:v>101</x:v>
      </x:c>
      <x:c r="E136" s="5" t="n">
        <x:v>20158</x:v>
      </x:c>
      <x:c r="F136" s="5" t="n">
        <x:v>505</x:v>
      </x:c>
      <x:c r="G136" s="5" t="n">
        <x:v>148</x:v>
      </x:c>
      <x:c r="H136" s="5" t="n">
        <x:v>127</x:v>
      </x:c>
      <x:c r="I136" s="1"/>
      <x:c r="J136" s="1"/>
      <x:c r="K136" s="1"/>
      <x:c r="L136" s="1"/>
    </x:row>
    <x:row r="137" ht="22" customHeight="1">
      <x:c r="A137" s="12" t="n">
        <x:v>42256</x:v>
      </x:c>
      <x:c r="B137" s="5" t="n">
        <x:v>21759</x:v>
      </x:c>
      <x:c r="C137" s="5" t="n">
        <x:v>13066</x:v>
      </x:c>
      <x:c r="D137" s="5" t="n">
        <x:v>120</x:v>
      </x:c>
      <x:c r="E137" s="5" t="n">
        <x:v>20995</x:v>
      </x:c>
      <x:c r="F137" s="5" t="n">
        <x:v>572</x:v>
      </x:c>
      <x:c r="G137" s="5" t="n">
        <x:v>192</x:v>
      </x:c>
      <x:c r="H137" s="5" t="n">
        <x:v>159</x:v>
      </x:c>
      <x:c r="I137" s="1"/>
      <x:c r="J137" s="1"/>
      <x:c r="K137" s="1"/>
      <x:c r="L137" s="1"/>
    </x:row>
    <x:row r="138" ht="22" customHeight="1">
      <x:c r="A138" s="12" t="n">
        <x:v>42257</x:v>
      </x:c>
      <x:c r="B138" s="5" t="n">
        <x:v>22548</x:v>
      </x:c>
      <x:c r="C138" s="5" t="n">
        <x:v>14075</x:v>
      </x:c>
      <x:c r="D138" s="5" t="n">
        <x:v>108</x:v>
      </x:c>
      <x:c r="E138" s="5" t="n">
        <x:v>21887</x:v>
      </x:c>
      <x:c r="F138" s="5" t="n">
        <x:v>480</x:v>
      </x:c>
      <x:c r="G138" s="5" t="n">
        <x:v>181</x:v>
      </x:c>
      <x:c r="H138" s="5" t="n">
        <x:v>138</x:v>
      </x:c>
      <x:c r="I138" s="1"/>
      <x:c r="J138" s="1"/>
      <x:c r="K138" s="1"/>
      <x:c r="L138" s="1"/>
    </x:row>
    <x:row r="139" ht="22" customHeight="1">
      <x:c r="A139" s="12" t="n">
        <x:v>42258</x:v>
      </x:c>
      <x:c r="B139" s="5" t="n">
        <x:v>21513</x:v>
      </x:c>
      <x:c r="C139" s="5" t="n">
        <x:v>13080</x:v>
      </x:c>
      <x:c r="D139" s="5" t="n">
        <x:v>106</x:v>
      </x:c>
      <x:c r="E139" s="5" t="n">
        <x:v>20671</x:v>
      </x:c>
      <x:c r="F139" s="5" t="n">
        <x:v>631</x:v>
      </x:c>
      <x:c r="G139" s="5" t="n">
        <x:v>211</x:v>
      </x:c>
      <x:c r="H139" s="5" t="n">
        <x:v>140</x:v>
      </x:c>
      <x:c r="I139" s="1"/>
      <x:c r="J139" s="1"/>
      <x:c r="K139" s="1"/>
      <x:c r="L139" s="1"/>
    </x:row>
    <x:row r="140" ht="22" customHeight="1">
      <x:c r="A140" s="12" t="n">
        <x:v>42259</x:v>
      </x:c>
      <x:c r="B140" s="5" t="n">
        <x:v>15495</x:v>
      </x:c>
      <x:c r="C140" s="5" t="n">
        <x:v>9944</x:v>
      </x:c>
      <x:c r="D140" s="5" t="n">
        <x:v>67</x:v>
      </x:c>
      <x:c r="E140" s="5" t="n">
        <x:v>15023</x:v>
      </x:c>
      <x:c r="F140" s="5" t="n">
        <x:v>370</x:v>
      </x:c>
      <x:c r="G140" s="5" t="n">
        <x:v>102</x:v>
      </x:c>
      <x:c r="H140" s="5" t="n">
        <x:v>91</x:v>
      </x:c>
      <x:c r="I140" s="1"/>
      <x:c r="J140" s="1"/>
      <x:c r="K140" s="1"/>
      <x:c r="L140" s="1"/>
    </x:row>
    <x:row r="141" ht="22" customHeight="1">
      <x:c r="A141" s="12" t="n">
        <x:v>42260</x:v>
      </x:c>
      <x:c r="B141" s="5" t="n">
        <x:v>16856</x:v>
      </x:c>
      <x:c r="C141" s="5" t="n">
        <x:v>10768</x:v>
      </x:c>
      <x:c r="D141" s="5" t="n">
        <x:v>62</x:v>
      </x:c>
      <x:c r="E141" s="5" t="n">
        <x:v>16373</x:v>
      </x:c>
      <x:c r="F141" s="5" t="n">
        <x:v>395</x:v>
      </x:c>
      <x:c r="G141" s="5" t="n">
        <x:v>88</x:v>
      </x:c>
      <x:c r="H141" s="5" t="n">
        <x:v>76</x:v>
      </x:c>
      <x:c r="I141" s="1"/>
      <x:c r="J141" s="1"/>
      <x:c r="K141" s="1"/>
      <x:c r="L141" s="1"/>
    </x:row>
    <x:row r="142" ht="22" customHeight="1">
      <x:c r="A142" s="12" t="n">
        <x:v>42261</x:v>
      </x:c>
      <x:c r="B142" s="5" t="n">
        <x:v>20905</x:v>
      </x:c>
      <x:c r="C142" s="5" t="n">
        <x:v>13389</x:v>
      </x:c>
      <x:c r="D142" s="5" t="n">
        <x:v>94</x:v>
      </x:c>
      <x:c r="E142" s="5" t="n">
        <x:v>20282</x:v>
      </x:c>
      <x:c r="F142" s="5" t="n">
        <x:v>469</x:v>
      </x:c>
      <x:c r="G142" s="5" t="n">
        <x:v>154</x:v>
      </x:c>
      <x:c r="H142" s="5" t="n">
        <x:v>135</x:v>
      </x:c>
      <x:c r="I142" s="1"/>
      <x:c r="J142" s="1"/>
      <x:c r="K142" s="1"/>
      <x:c r="L142" s="1"/>
    </x:row>
    <x:row r="143" ht="22" customHeight="1">
      <x:c r="A143" s="12" t="n">
        <x:v>42262</x:v>
      </x:c>
      <x:c r="B143" s="5" t="n">
        <x:v>20425</x:v>
      </x:c>
      <x:c r="C143" s="5" t="n">
        <x:v>12687</x:v>
      </x:c>
      <x:c r="D143" s="5" t="n">
        <x:v>89</x:v>
      </x:c>
      <x:c r="E143" s="5" t="n">
        <x:v>19673</x:v>
      </x:c>
      <x:c r="F143" s="5" t="n">
        <x:v>594</x:v>
      </x:c>
      <x:c r="G143" s="5" t="n">
        <x:v>158</x:v>
      </x:c>
      <x:c r="H143" s="5" t="n">
        <x:v>121</x:v>
      </x:c>
      <x:c r="I143" s="1"/>
      <x:c r="J143" s="1"/>
      <x:c r="K143" s="1"/>
      <x:c r="L143" s="1"/>
    </x:row>
    <x:row r="144" ht="22" customHeight="1">
      <x:c r="A144" s="12" t="n">
        <x:v>42263</x:v>
      </x:c>
      <x:c r="B144" s="5" t="n">
        <x:v>11494</x:v>
      </x:c>
      <x:c r="C144" s="5" t="n">
        <x:v>6824</x:v>
      </x:c>
      <x:c r="D144" s="5" t="n">
        <x:v>70</x:v>
      </x:c>
      <x:c r="E144" s="5" t="n">
        <x:v>11022</x:v>
      </x:c>
      <x:c r="F144" s="5" t="n">
        <x:v>335</x:v>
      </x:c>
      <x:c r="G144" s="5" t="n">
        <x:v>137</x:v>
      </x:c>
      <x:c r="H144" s="5" t="n">
        <x:v>100</x:v>
      </x:c>
      <x:c r="I144" s="1"/>
      <x:c r="J144" s="1"/>
      <x:c r="K144" s="1"/>
      <x:c r="L144" s="1"/>
    </x:row>
    <x:row r="145" ht="22" customHeight="1">
      <x:c r="A145" s="12" t="n">
        <x:v>42264</x:v>
      </x:c>
      <x:c r="B145" s="5" t="n">
        <x:v>10126</x:v>
      </x:c>
      <x:c r="C145" s="5" t="n">
        <x:v>6270</x:v>
      </x:c>
      <x:c r="D145" s="5" t="n">
        <x:v>32</x:v>
      </x:c>
      <x:c r="E145" s="5" t="n">
        <x:v>9830</x:v>
      </x:c>
      <x:c r="F145" s="5" t="n">
        <x:v>251</x:v>
      </x:c>
      <x:c r="G145" s="5" t="n">
        <x:v>45</x:v>
      </x:c>
      <x:c r="H145" s="5" t="n">
        <x:v>41</x:v>
      </x:c>
      <x:c r="I145" s="1"/>
      <x:c r="J145" s="1"/>
      <x:c r="K145" s="1"/>
      <x:c r="L145" s="1"/>
    </x:row>
    <x:row r="146" ht="22" customHeight="1">
      <x:c r="A146" s="12" t="n">
        <x:v>42265</x:v>
      </x:c>
      <x:c r="B146" s="5" t="n">
        <x:v>1528</x:v>
      </x:c>
      <x:c r="C146" s="5" t="n">
        <x:v>1016</x:v>
      </x:c>
      <x:c r="D146" s="5" t="n">
        <x:v>8</x:v>
      </x:c>
      <x:c r="E146" s="5" t="n">
        <x:v>1479</x:v>
      </x:c>
      <x:c r="F146" s="5" t="n">
        <x:v>34</x:v>
      </x:c>
      <x:c r="G146" s="5" t="n">
        <x:v>15</x:v>
      </x:c>
      <x:c r="H146" s="5" t="n">
        <x:v>11</x:v>
      </x:c>
      <x:c r="I146" s="1"/>
      <x:c r="J146" s="1"/>
      <x:c r="K146" s="1"/>
      <x:c r="L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</x:sheetData>
  <x:pageMargins left="0.7" right="0.7" top="0.75" bottom="0.75" header="0.3" footer="0.3"/>
</x:worksheet>
</file>